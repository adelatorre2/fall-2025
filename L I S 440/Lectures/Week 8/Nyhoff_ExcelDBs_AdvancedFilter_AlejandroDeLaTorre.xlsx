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8/"/>
    </mc:Choice>
  </mc:AlternateContent>
  <xr:revisionPtr revIDLastSave="1" documentId="8_{6D7A0916-EEE2-477F-AB2E-AAF529004799}" xr6:coauthVersionLast="47" xr6:coauthVersionMax="47" xr10:uidLastSave="{38AD86FF-3716-44C3-A014-4CB67A6E5DE4}"/>
  <bookViews>
    <workbookView xWindow="-120" yWindow="-120" windowWidth="22920" windowHeight="13800" tabRatio="851" activeTab="5" xr2:uid="{00000000-000D-0000-FFFF-FFFF00000000}"/>
  </bookViews>
  <sheets>
    <sheet name="College" sheetId="2" r:id="rId1"/>
    <sheet name="Advanced Filter" sheetId="4" r:id="rId2"/>
    <sheet name="Advanced Filter - AND" sheetId="5" r:id="rId3"/>
    <sheet name="Advanced Filter - OR" sheetId="6" r:id="rId4"/>
    <sheet name="Adv. Filter - AND Same Field" sheetId="9" r:id="rId5"/>
    <sheet name="Database Functions" sheetId="10" r:id="rId6"/>
  </sheets>
  <definedNames>
    <definedName name="_xlnm._FilterDatabase" localSheetId="4" hidden="1">'Adv. Filter - AND Same Field'!$A$1:$G$71</definedName>
    <definedName name="_xlnm._FilterDatabase" localSheetId="1" hidden="1">'Advanced Filter'!$A$1:$G$71</definedName>
    <definedName name="_xlnm._FilterDatabase" localSheetId="2" hidden="1">'Advanced Filter - AND'!$A$1:$G$71</definedName>
    <definedName name="_xlnm._FilterDatabase" localSheetId="3" hidden="1">'Advanced Filter - OR'!$A$1:$G$71</definedName>
    <definedName name="_xlnm._FilterDatabase" localSheetId="0" hidden="1">College!$A$40:$G$71</definedName>
    <definedName name="_xlnm._FilterDatabase" localSheetId="5" hidden="1">'Database Functions'!$A$1:$G$71</definedName>
    <definedName name="_xlnm.Criteria" localSheetId="4">'Adv. Filter - AND Same Field'!$G$73:$H$74</definedName>
    <definedName name="_xlnm.Criteria" localSheetId="1">'Advanced Filter'!$A$73:$G$74</definedName>
    <definedName name="_xlnm.Criteria" localSheetId="2">'Advanced Filter - AND'!$A$73:$G$74</definedName>
    <definedName name="_xlnm.Criteria" localSheetId="3">'Advanced Filter - OR'!$A$73:$G$75</definedName>
    <definedName name="_xlnm.Criteria" localSheetId="0">College!$G$74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0" l="1"/>
  <c r="A88" i="10"/>
  <c r="D81" i="10"/>
  <c r="A81" i="10"/>
  <c r="A85" i="10"/>
</calcChain>
</file>

<file path=xl/sharedStrings.xml><?xml version="1.0" encoding="utf-8"?>
<sst xmlns="http://schemas.openxmlformats.org/spreadsheetml/2006/main" count="1786" uniqueCount="181">
  <si>
    <t>Class Level</t>
  </si>
  <si>
    <t>Home State</t>
  </si>
  <si>
    <t>Arkansas</t>
  </si>
  <si>
    <t>Illinois</t>
  </si>
  <si>
    <t>Major</t>
  </si>
  <si>
    <t>Religion</t>
  </si>
  <si>
    <t>Poli Sci</t>
  </si>
  <si>
    <t>New York</t>
  </si>
  <si>
    <t>Speech</t>
  </si>
  <si>
    <t>Rhode Island</t>
  </si>
  <si>
    <t>Undecided</t>
  </si>
  <si>
    <t>California</t>
  </si>
  <si>
    <t>Phys Ed</t>
  </si>
  <si>
    <t>Philosophy</t>
  </si>
  <si>
    <t>Business</t>
  </si>
  <si>
    <t>Washington</t>
  </si>
  <si>
    <t>Psychology</t>
  </si>
  <si>
    <t>English</t>
  </si>
  <si>
    <t>Massachusetts</t>
  </si>
  <si>
    <t>Indiana</t>
  </si>
  <si>
    <t>Agriculture</t>
  </si>
  <si>
    <t>Maine</t>
  </si>
  <si>
    <t>Pre-Med</t>
  </si>
  <si>
    <t>Iowa</t>
  </si>
  <si>
    <t>Pennsylvania</t>
  </si>
  <si>
    <t>Maryland</t>
  </si>
  <si>
    <t>Nursing</t>
  </si>
  <si>
    <t>Communications</t>
  </si>
  <si>
    <t>Education</t>
  </si>
  <si>
    <t>Drama</t>
  </si>
  <si>
    <t>Hawaii</t>
  </si>
  <si>
    <t>Alabama</t>
  </si>
  <si>
    <t>North Carolina</t>
  </si>
  <si>
    <t>Texas</t>
  </si>
  <si>
    <t>Last Name</t>
  </si>
  <si>
    <t>First Name</t>
  </si>
  <si>
    <t>Bania</t>
  </si>
  <si>
    <t>Kenny</t>
  </si>
  <si>
    <t>Benes</t>
  </si>
  <si>
    <t>Elaine</t>
  </si>
  <si>
    <t>Sideshow</t>
  </si>
  <si>
    <t>Bob</t>
  </si>
  <si>
    <t>Bouvier</t>
  </si>
  <si>
    <t>Patty</t>
  </si>
  <si>
    <t>Selma</t>
  </si>
  <si>
    <t>Boyd</t>
  </si>
  <si>
    <t>Woody</t>
  </si>
  <si>
    <t>Brown</t>
  </si>
  <si>
    <t>Charlie</t>
  </si>
  <si>
    <t>Bueller</t>
  </si>
  <si>
    <t>Ferris</t>
  </si>
  <si>
    <t>Burns</t>
  </si>
  <si>
    <t>Frank</t>
  </si>
  <si>
    <t>Bush</t>
  </si>
  <si>
    <t>George</t>
  </si>
  <si>
    <t>Calvin</t>
  </si>
  <si>
    <t>Johnny</t>
  </si>
  <si>
    <t>Chambers</t>
  </si>
  <si>
    <t>Diane</t>
  </si>
  <si>
    <t>Clavin</t>
  </si>
  <si>
    <t>Cliff</t>
  </si>
  <si>
    <t>Clinton</t>
  </si>
  <si>
    <t>William</t>
  </si>
  <si>
    <t>Clown</t>
  </si>
  <si>
    <t>Costanza</t>
  </si>
  <si>
    <t>Crane</t>
  </si>
  <si>
    <t>Frasier</t>
  </si>
  <si>
    <t>Niles</t>
  </si>
  <si>
    <t>Flanders</t>
  </si>
  <si>
    <t>Ned</t>
  </si>
  <si>
    <t>Houlihan</t>
  </si>
  <si>
    <t>Margaret</t>
  </si>
  <si>
    <t>Howe</t>
  </si>
  <si>
    <t>Rebecca</t>
  </si>
  <si>
    <t>Howell</t>
  </si>
  <si>
    <t>Thurston</t>
  </si>
  <si>
    <t>Hunnicutt</t>
  </si>
  <si>
    <t>BJ</t>
  </si>
  <si>
    <t>Keaton</t>
  </si>
  <si>
    <t>Alex</t>
  </si>
  <si>
    <t>Kramer</t>
  </si>
  <si>
    <t>Cosmo</t>
  </si>
  <si>
    <t>Lovejoy</t>
  </si>
  <si>
    <t>Reverend</t>
  </si>
  <si>
    <t>Malone</t>
  </si>
  <si>
    <t>Sam</t>
  </si>
  <si>
    <t>Moon</t>
  </si>
  <si>
    <t>Daphne</t>
  </si>
  <si>
    <t>Mulcahy</t>
  </si>
  <si>
    <t>Francis</t>
  </si>
  <si>
    <t>O'Reilly</t>
  </si>
  <si>
    <t>Walter</t>
  </si>
  <si>
    <t>Peterson</t>
  </si>
  <si>
    <t>Norm</t>
  </si>
  <si>
    <t>Pierce</t>
  </si>
  <si>
    <t>Benjamin</t>
  </si>
  <si>
    <t>Seinfeld</t>
  </si>
  <si>
    <t>Jerry</t>
  </si>
  <si>
    <t>Simpson</t>
  </si>
  <si>
    <t>Bart</t>
  </si>
  <si>
    <t>Homer</t>
  </si>
  <si>
    <t>Lisa</t>
  </si>
  <si>
    <t>Marge</t>
  </si>
  <si>
    <t>Spicoli</t>
  </si>
  <si>
    <t>Jeff</t>
  </si>
  <si>
    <t>Van Pelt</t>
  </si>
  <si>
    <t>Linus</t>
  </si>
  <si>
    <t>Lucy</t>
  </si>
  <si>
    <t>Obama</t>
  </si>
  <si>
    <t>Barack</t>
  </si>
  <si>
    <t>Troll</t>
  </si>
  <si>
    <t>Trin</t>
  </si>
  <si>
    <t>Krusty</t>
  </si>
  <si>
    <t>Maggie</t>
  </si>
  <si>
    <t>Wilson</t>
  </si>
  <si>
    <t>Brian</t>
  </si>
  <si>
    <t>Music</t>
  </si>
  <si>
    <t>Starkey</t>
  </si>
  <si>
    <t>Richard</t>
  </si>
  <si>
    <t>Virginia</t>
  </si>
  <si>
    <t>Gates</t>
  </si>
  <si>
    <t>Computing</t>
  </si>
  <si>
    <t>Jobs</t>
  </si>
  <si>
    <t>Steven</t>
  </si>
  <si>
    <t>Zuckerberg</t>
  </si>
  <si>
    <t>Mark</t>
  </si>
  <si>
    <t>Kay</t>
  </si>
  <si>
    <t>Alan</t>
  </si>
  <si>
    <t>Previous GPA</t>
  </si>
  <si>
    <t>Sally</t>
  </si>
  <si>
    <t>Hamilton</t>
  </si>
  <si>
    <t>Bethany</t>
  </si>
  <si>
    <t>Heron</t>
  </si>
  <si>
    <t>Cady</t>
  </si>
  <si>
    <t>Mathematics</t>
  </si>
  <si>
    <t>Student Number</t>
  </si>
  <si>
    <t>Carlisle</t>
  </si>
  <si>
    <t>Belinda</t>
  </si>
  <si>
    <t>Ross</t>
  </si>
  <si>
    <t>Diana</t>
  </si>
  <si>
    <t>Michigan</t>
  </si>
  <si>
    <t>Lange</t>
  </si>
  <si>
    <t>Mayer</t>
  </si>
  <si>
    <t>Marissa</t>
  </si>
  <si>
    <t>Hopper</t>
  </si>
  <si>
    <t>Grace</t>
  </si>
  <si>
    <t>Laurel</t>
  </si>
  <si>
    <t>Brenda</t>
  </si>
  <si>
    <t>Ohio</t>
  </si>
  <si>
    <t>Turkle</t>
  </si>
  <si>
    <t>Sherry</t>
  </si>
  <si>
    <t>Joan</t>
  </si>
  <si>
    <t>Van</t>
  </si>
  <si>
    <t>Hamm</t>
  </si>
  <si>
    <t>Mia</t>
  </si>
  <si>
    <t>Hiller</t>
  </si>
  <si>
    <t>Kelly</t>
  </si>
  <si>
    <t>Helen</t>
  </si>
  <si>
    <t>Maude</t>
  </si>
  <si>
    <t>Byron</t>
  </si>
  <si>
    <t>Ada</t>
  </si>
  <si>
    <t>Megan</t>
  </si>
  <si>
    <t>Lynch</t>
  </si>
  <si>
    <t>Sara</t>
  </si>
  <si>
    <t>Valerie</t>
  </si>
  <si>
    <t>Rose</t>
  </si>
  <si>
    <t>Desmond</t>
  </si>
  <si>
    <t>Molly</t>
  </si>
  <si>
    <t>Callie</t>
  </si>
  <si>
    <t>Black</t>
  </si>
  <si>
    <t>GPA</t>
  </si>
  <si>
    <t>De La Torre</t>
  </si>
  <si>
    <t>Alejandro</t>
  </si>
  <si>
    <t>Economics</t>
  </si>
  <si>
    <t>&gt;=3.0</t>
  </si>
  <si>
    <t>&lt;4.0</t>
  </si>
  <si>
    <t>Average Senior GPA</t>
  </si>
  <si>
    <t>Number of Seniors</t>
  </si>
  <si>
    <t>Lowest Senior GPA</t>
  </si>
  <si>
    <t>Highest California GPA</t>
  </si>
  <si>
    <t>Highest Virginia Senior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</si>
</sst>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0"/>
      <name val="Arial"/>
    </font>
    <font>
      <b/>
      <sz val="10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G80"/>
  <sheetViews>
    <sheetView zoomScaleNormal="100" workbookViewId="0">
      <pane ySplit="1" topLeftCell="A44" activePane="bottomLeft" state="frozen"/>
      <selection pane="bottomLeft" activeCell="G75" sqref="G75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9" style="4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170</v>
      </c>
    </row>
    <row r="2" spans="1:7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ht="12" customHeight="1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x14ac:dyDescent="0.2">
      <c r="A40" s="9">
        <v>49</v>
      </c>
      <c r="B40" t="s">
        <v>103</v>
      </c>
      <c r="C40" t="s">
        <v>104</v>
      </c>
      <c r="D40" s="1">
        <v>1</v>
      </c>
      <c r="E40" s="1" t="s">
        <v>11</v>
      </c>
      <c r="F40" s="1" t="s">
        <v>12</v>
      </c>
      <c r="G40" s="4">
        <v>0.25</v>
      </c>
    </row>
    <row r="41" spans="1:7" x14ac:dyDescent="0.2">
      <c r="A41" s="9">
        <v>48</v>
      </c>
      <c r="B41" t="s">
        <v>98</v>
      </c>
      <c r="C41" t="s">
        <v>99</v>
      </c>
      <c r="D41" s="1">
        <v>1</v>
      </c>
      <c r="E41" s="1" t="s">
        <v>9</v>
      </c>
      <c r="F41" s="1" t="s">
        <v>10</v>
      </c>
      <c r="G41" s="4">
        <v>1</v>
      </c>
    </row>
    <row r="42" spans="1:7" x14ac:dyDescent="0.2">
      <c r="A42" s="9">
        <v>54</v>
      </c>
      <c r="B42" t="s">
        <v>59</v>
      </c>
      <c r="C42" t="s">
        <v>60</v>
      </c>
      <c r="D42" s="1">
        <v>2</v>
      </c>
      <c r="E42" s="1" t="s">
        <v>18</v>
      </c>
      <c r="F42" s="1" t="s">
        <v>13</v>
      </c>
      <c r="G42" s="4">
        <v>1</v>
      </c>
    </row>
    <row r="43" spans="1:7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x14ac:dyDescent="0.2">
      <c r="A44" s="9">
        <v>46</v>
      </c>
      <c r="B44" t="s">
        <v>36</v>
      </c>
      <c r="C44" t="s">
        <v>37</v>
      </c>
      <c r="D44" s="1">
        <v>1</v>
      </c>
      <c r="E44" s="1" t="s">
        <v>7</v>
      </c>
      <c r="F44" s="1" t="s">
        <v>27</v>
      </c>
      <c r="G44" s="4">
        <v>1.2</v>
      </c>
    </row>
    <row r="45" spans="1:7" x14ac:dyDescent="0.2">
      <c r="A45" s="9">
        <v>66</v>
      </c>
      <c r="B45" t="s">
        <v>92</v>
      </c>
      <c r="C45" t="s">
        <v>93</v>
      </c>
      <c r="D45" s="1">
        <v>2</v>
      </c>
      <c r="E45" s="1" t="s">
        <v>18</v>
      </c>
      <c r="F45" s="1" t="s">
        <v>14</v>
      </c>
      <c r="G45" s="4">
        <v>1.5</v>
      </c>
    </row>
    <row r="46" spans="1:7" x14ac:dyDescent="0.2">
      <c r="A46" s="9">
        <v>55</v>
      </c>
      <c r="B46" t="s">
        <v>42</v>
      </c>
      <c r="C46" t="s">
        <v>43</v>
      </c>
      <c r="D46" s="1">
        <v>2</v>
      </c>
      <c r="E46" s="1" t="s">
        <v>11</v>
      </c>
      <c r="F46" s="1" t="s">
        <v>8</v>
      </c>
      <c r="G46" s="4">
        <v>2.2200000000000002</v>
      </c>
    </row>
    <row r="47" spans="1:7" x14ac:dyDescent="0.2">
      <c r="A47" s="9">
        <v>41</v>
      </c>
      <c r="B47" t="s">
        <v>74</v>
      </c>
      <c r="C47" t="s">
        <v>75</v>
      </c>
      <c r="D47" s="1">
        <v>3</v>
      </c>
      <c r="E47" s="1" t="s">
        <v>30</v>
      </c>
      <c r="F47" s="1" t="s">
        <v>14</v>
      </c>
      <c r="G47" s="4">
        <v>2.5</v>
      </c>
    </row>
    <row r="48" spans="1:7" x14ac:dyDescent="0.2">
      <c r="A48" s="9">
        <v>45</v>
      </c>
      <c r="B48" s="8" t="s">
        <v>82</v>
      </c>
      <c r="C48" s="8" t="s">
        <v>157</v>
      </c>
      <c r="D48" s="1">
        <v>2</v>
      </c>
      <c r="E48" s="7" t="s">
        <v>32</v>
      </c>
      <c r="F48" s="7" t="s">
        <v>27</v>
      </c>
      <c r="G48" s="4">
        <v>2.5</v>
      </c>
    </row>
    <row r="49" spans="1:7" x14ac:dyDescent="0.2">
      <c r="A49" s="9">
        <v>67</v>
      </c>
      <c r="B49" t="s">
        <v>68</v>
      </c>
      <c r="C49" t="s">
        <v>69</v>
      </c>
      <c r="D49" s="1">
        <v>3</v>
      </c>
      <c r="E49" s="1" t="s">
        <v>31</v>
      </c>
      <c r="F49" s="1" t="s">
        <v>5</v>
      </c>
      <c r="G49" s="4">
        <v>2.8</v>
      </c>
    </row>
    <row r="50" spans="1:7" x14ac:dyDescent="0.2">
      <c r="A50" s="9">
        <v>39</v>
      </c>
      <c r="B50" t="s">
        <v>53</v>
      </c>
      <c r="C50" t="s">
        <v>54</v>
      </c>
      <c r="D50" s="1">
        <v>4</v>
      </c>
      <c r="E50" s="1" t="s">
        <v>33</v>
      </c>
      <c r="F50" s="1" t="s">
        <v>6</v>
      </c>
      <c r="G50" s="4">
        <v>3</v>
      </c>
    </row>
    <row r="51" spans="1:7" x14ac:dyDescent="0.2">
      <c r="A51" s="9">
        <v>47</v>
      </c>
      <c r="B51" t="s">
        <v>120</v>
      </c>
      <c r="C51" t="s">
        <v>62</v>
      </c>
      <c r="D51" s="1">
        <v>1</v>
      </c>
      <c r="E51" s="1" t="s">
        <v>15</v>
      </c>
      <c r="F51" s="1" t="s">
        <v>121</v>
      </c>
      <c r="G51" s="4">
        <v>3</v>
      </c>
    </row>
    <row r="52" spans="1:7" x14ac:dyDescent="0.2">
      <c r="A52" s="9">
        <v>52</v>
      </c>
      <c r="B52" s="5" t="s">
        <v>47</v>
      </c>
      <c r="C52" s="5" t="s">
        <v>129</v>
      </c>
      <c r="D52" s="1">
        <v>3</v>
      </c>
      <c r="E52" s="1" t="s">
        <v>11</v>
      </c>
      <c r="F52" s="6" t="s">
        <v>17</v>
      </c>
      <c r="G52" s="4">
        <v>3</v>
      </c>
    </row>
    <row r="53" spans="1:7" x14ac:dyDescent="0.2">
      <c r="A53" s="9">
        <v>58</v>
      </c>
      <c r="B53" t="s">
        <v>164</v>
      </c>
      <c r="C53" t="s">
        <v>165</v>
      </c>
      <c r="D53" s="1">
        <v>2</v>
      </c>
      <c r="E53" s="1" t="s">
        <v>119</v>
      </c>
      <c r="F53" s="1" t="s">
        <v>29</v>
      </c>
      <c r="G53" s="4">
        <v>3</v>
      </c>
    </row>
    <row r="54" spans="1:7" x14ac:dyDescent="0.2">
      <c r="A54" s="9">
        <v>60</v>
      </c>
      <c r="B54" t="s">
        <v>47</v>
      </c>
      <c r="C54" t="s">
        <v>48</v>
      </c>
      <c r="D54" s="1">
        <v>4</v>
      </c>
      <c r="E54" s="1" t="s">
        <v>11</v>
      </c>
      <c r="F54" s="1" t="s">
        <v>10</v>
      </c>
      <c r="G54" s="4">
        <v>3</v>
      </c>
    </row>
    <row r="55" spans="1:7" x14ac:dyDescent="0.2">
      <c r="A55" s="9">
        <v>62</v>
      </c>
      <c r="B55" t="s">
        <v>122</v>
      </c>
      <c r="C55" t="s">
        <v>123</v>
      </c>
      <c r="D55" s="1">
        <v>2</v>
      </c>
      <c r="E55" s="1" t="s">
        <v>11</v>
      </c>
      <c r="F55" s="1" t="s">
        <v>121</v>
      </c>
      <c r="G55" s="4">
        <v>3</v>
      </c>
    </row>
    <row r="56" spans="1:7" x14ac:dyDescent="0.2">
      <c r="A56" s="9">
        <v>63</v>
      </c>
      <c r="B56" s="8" t="s">
        <v>68</v>
      </c>
      <c r="C56" s="8" t="s">
        <v>158</v>
      </c>
      <c r="D56" s="1">
        <v>3</v>
      </c>
      <c r="E56" s="7" t="s">
        <v>31</v>
      </c>
      <c r="F56" s="7" t="s">
        <v>29</v>
      </c>
      <c r="G56" s="4">
        <v>3</v>
      </c>
    </row>
    <row r="57" spans="1:7" x14ac:dyDescent="0.2">
      <c r="A57" s="9">
        <v>53</v>
      </c>
      <c r="B57" t="s">
        <v>38</v>
      </c>
      <c r="C57" t="s">
        <v>39</v>
      </c>
      <c r="D57" s="1">
        <v>3</v>
      </c>
      <c r="E57" s="1" t="s">
        <v>7</v>
      </c>
      <c r="F57" s="1" t="s">
        <v>14</v>
      </c>
      <c r="G57" s="4">
        <v>3.3</v>
      </c>
    </row>
    <row r="58" spans="1:7" x14ac:dyDescent="0.2">
      <c r="A58" s="9">
        <v>64</v>
      </c>
      <c r="B58" t="s">
        <v>124</v>
      </c>
      <c r="C58" t="s">
        <v>125</v>
      </c>
      <c r="D58" s="1">
        <v>2</v>
      </c>
      <c r="E58" s="1" t="s">
        <v>7</v>
      </c>
      <c r="F58" s="1" t="s">
        <v>121</v>
      </c>
      <c r="G58" s="4">
        <v>3.3</v>
      </c>
    </row>
    <row r="59" spans="1:7" x14ac:dyDescent="0.2">
      <c r="A59" s="9">
        <v>70</v>
      </c>
      <c r="B59" t="s">
        <v>171</v>
      </c>
      <c r="C59" t="s">
        <v>172</v>
      </c>
      <c r="D59" s="1">
        <v>4</v>
      </c>
      <c r="E59" s="1" t="s">
        <v>11</v>
      </c>
      <c r="F59" s="1" t="s">
        <v>173</v>
      </c>
      <c r="G59" s="4">
        <v>3.34</v>
      </c>
    </row>
    <row r="60" spans="1:7" x14ac:dyDescent="0.2">
      <c r="A60" s="9">
        <v>40</v>
      </c>
      <c r="B60" t="s">
        <v>70</v>
      </c>
      <c r="C60" t="s">
        <v>71</v>
      </c>
      <c r="D60" s="1">
        <v>2</v>
      </c>
      <c r="E60" s="1" t="s">
        <v>25</v>
      </c>
      <c r="F60" s="1" t="s">
        <v>26</v>
      </c>
      <c r="G60" s="4">
        <v>3.5</v>
      </c>
    </row>
    <row r="61" spans="1:7" x14ac:dyDescent="0.2">
      <c r="A61" s="9">
        <v>57</v>
      </c>
      <c r="B61" t="s">
        <v>98</v>
      </c>
      <c r="C61" t="s">
        <v>113</v>
      </c>
      <c r="D61" s="1">
        <v>2</v>
      </c>
      <c r="E61" s="1" t="s">
        <v>9</v>
      </c>
      <c r="F61" s="1" t="s">
        <v>28</v>
      </c>
      <c r="G61" s="4">
        <v>3.5</v>
      </c>
    </row>
    <row r="62" spans="1:7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x14ac:dyDescent="0.2">
      <c r="A63" s="9">
        <v>69</v>
      </c>
      <c r="B63" t="s">
        <v>166</v>
      </c>
      <c r="C63" t="s">
        <v>167</v>
      </c>
      <c r="D63" s="1">
        <v>3</v>
      </c>
      <c r="E63" s="1" t="s">
        <v>119</v>
      </c>
      <c r="F63" s="1" t="s">
        <v>14</v>
      </c>
      <c r="G63" s="4">
        <v>3.5</v>
      </c>
    </row>
    <row r="64" spans="1:7" x14ac:dyDescent="0.2">
      <c r="A64" s="9">
        <v>56</v>
      </c>
      <c r="B64" t="s">
        <v>65</v>
      </c>
      <c r="C64" t="s">
        <v>67</v>
      </c>
      <c r="D64" s="1">
        <v>4</v>
      </c>
      <c r="E64" s="1" t="s">
        <v>15</v>
      </c>
      <c r="F64" s="1" t="s">
        <v>16</v>
      </c>
      <c r="G64" s="4">
        <v>3.51</v>
      </c>
    </row>
    <row r="65" spans="1:7" x14ac:dyDescent="0.2">
      <c r="A65" s="9">
        <v>43</v>
      </c>
      <c r="B65" t="s">
        <v>141</v>
      </c>
      <c r="C65" t="s">
        <v>161</v>
      </c>
      <c r="D65" s="1">
        <v>1</v>
      </c>
      <c r="E65" s="1" t="s">
        <v>140</v>
      </c>
      <c r="F65" s="1" t="s">
        <v>12</v>
      </c>
      <c r="G65" s="4">
        <v>3.7</v>
      </c>
    </row>
    <row r="66" spans="1:7" x14ac:dyDescent="0.2">
      <c r="A66" s="9">
        <v>50</v>
      </c>
      <c r="B66" t="s">
        <v>105</v>
      </c>
      <c r="C66" t="s">
        <v>106</v>
      </c>
      <c r="D66" s="1">
        <v>1</v>
      </c>
      <c r="E66" s="1" t="s">
        <v>11</v>
      </c>
      <c r="F66" s="1" t="s">
        <v>13</v>
      </c>
      <c r="G66" s="4">
        <v>3.8</v>
      </c>
    </row>
    <row r="67" spans="1:7" x14ac:dyDescent="0.2">
      <c r="A67" s="9">
        <v>44</v>
      </c>
      <c r="B67" s="8" t="s">
        <v>159</v>
      </c>
      <c r="C67" s="8" t="s">
        <v>160</v>
      </c>
      <c r="D67" s="1">
        <v>3</v>
      </c>
      <c r="E67" s="7" t="s">
        <v>119</v>
      </c>
      <c r="F67" s="7" t="s">
        <v>121</v>
      </c>
      <c r="G67" s="4">
        <v>4</v>
      </c>
    </row>
    <row r="68" spans="1:7" x14ac:dyDescent="0.2">
      <c r="A68" s="9">
        <v>51</v>
      </c>
      <c r="B68" t="s">
        <v>114</v>
      </c>
      <c r="C68" t="s">
        <v>115</v>
      </c>
      <c r="D68" s="1">
        <v>1</v>
      </c>
      <c r="E68" s="1" t="s">
        <v>11</v>
      </c>
      <c r="F68" s="1" t="s">
        <v>116</v>
      </c>
      <c r="G68" s="4">
        <v>4</v>
      </c>
    </row>
    <row r="69" spans="1:7" x14ac:dyDescent="0.2">
      <c r="A69" s="9">
        <v>59</v>
      </c>
      <c r="B69" t="s">
        <v>126</v>
      </c>
      <c r="C69" t="s">
        <v>127</v>
      </c>
      <c r="D69" s="1">
        <v>4</v>
      </c>
      <c r="E69" s="1" t="s">
        <v>18</v>
      </c>
      <c r="F69" s="1" t="s">
        <v>121</v>
      </c>
      <c r="G69" s="4">
        <v>4</v>
      </c>
    </row>
    <row r="70" spans="1:7" x14ac:dyDescent="0.2">
      <c r="A70" s="9">
        <v>65</v>
      </c>
      <c r="B70" t="s">
        <v>169</v>
      </c>
      <c r="C70" t="s">
        <v>168</v>
      </c>
      <c r="D70" s="1">
        <v>4</v>
      </c>
      <c r="E70" s="1" t="s">
        <v>11</v>
      </c>
      <c r="F70" s="1" t="s">
        <v>10</v>
      </c>
      <c r="G70" s="4">
        <v>4</v>
      </c>
    </row>
    <row r="71" spans="1:7" x14ac:dyDescent="0.2">
      <c r="A71" s="9">
        <v>68</v>
      </c>
      <c r="B71" t="s">
        <v>55</v>
      </c>
      <c r="C71" t="s">
        <v>56</v>
      </c>
      <c r="D71" s="1">
        <v>2</v>
      </c>
      <c r="E71" s="1" t="s">
        <v>3</v>
      </c>
      <c r="F71" s="1" t="s">
        <v>5</v>
      </c>
      <c r="G71" s="4">
        <v>4</v>
      </c>
    </row>
    <row r="72" spans="1:7" x14ac:dyDescent="0.2">
      <c r="A72" s="9"/>
    </row>
    <row r="73" spans="1:7" x14ac:dyDescent="0.2">
      <c r="A73" s="2" t="s">
        <v>135</v>
      </c>
      <c r="B73" s="2" t="s">
        <v>34</v>
      </c>
      <c r="C73" s="2" t="s">
        <v>35</v>
      </c>
      <c r="D73" s="2" t="s">
        <v>0</v>
      </c>
      <c r="E73" s="2" t="s">
        <v>1</v>
      </c>
      <c r="F73" s="2" t="s">
        <v>4</v>
      </c>
      <c r="G73" s="3" t="s">
        <v>170</v>
      </c>
    </row>
    <row r="74" spans="1:7" x14ac:dyDescent="0.2">
      <c r="A74"/>
      <c r="D74"/>
      <c r="E74" s="10"/>
      <c r="F74"/>
      <c r="G74" s="11" t="s">
        <v>174</v>
      </c>
    </row>
    <row r="75" spans="1:7" x14ac:dyDescent="0.2">
      <c r="A75"/>
      <c r="D75"/>
      <c r="E75"/>
      <c r="F75"/>
      <c r="G75"/>
    </row>
    <row r="76" spans="1:7" x14ac:dyDescent="0.2">
      <c r="A76"/>
      <c r="D76"/>
      <c r="E76"/>
      <c r="F76"/>
      <c r="G76"/>
    </row>
    <row r="77" spans="1:7" x14ac:dyDescent="0.2">
      <c r="A77"/>
      <c r="D77"/>
      <c r="E77"/>
      <c r="F77"/>
      <c r="G77"/>
    </row>
    <row r="78" spans="1:7" x14ac:dyDescent="0.2">
      <c r="A78"/>
      <c r="D78"/>
      <c r="E78"/>
      <c r="F78"/>
      <c r="G78"/>
    </row>
    <row r="79" spans="1:7" x14ac:dyDescent="0.2">
      <c r="A79"/>
      <c r="D79"/>
      <c r="E79"/>
      <c r="F79"/>
      <c r="G79"/>
    </row>
    <row r="80" spans="1:7" x14ac:dyDescent="0.2">
      <c r="A80"/>
      <c r="D80"/>
      <c r="E80"/>
      <c r="F80"/>
      <c r="G80"/>
    </row>
  </sheetData>
  <sortState xmlns:xlrd2="http://schemas.microsoft.com/office/spreadsheetml/2017/richdata2" ref="A40:G71">
    <sortCondition ref="G2:G71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66"/>
  </sheetPr>
  <dimension ref="A1:G80"/>
  <sheetViews>
    <sheetView zoomScaleNormal="100" workbookViewId="0">
      <pane ySplit="1" topLeftCell="A4" activePane="bottomLeft" state="frozen"/>
      <selection pane="bottomLeft" activeCell="E77" sqref="E77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15.140625" style="4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170</v>
      </c>
    </row>
    <row r="2" spans="1:7" hidden="1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hidden="1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hidden="1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hidden="1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hidden="1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hidden="1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hidden="1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hidden="1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hidden="1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hidden="1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hidden="1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hidden="1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hidden="1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hidden="1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hidden="1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hidden="1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hidden="1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hidden="1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hidden="1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hidden="1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hidden="1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hidden="1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hidden="1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hidden="1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hidden="1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hidden="1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hidden="1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hidden="1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hidden="1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hidden="1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hidden="1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hidden="1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hidden="1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hidden="1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hidden="1" x14ac:dyDescent="0.2">
      <c r="A40" s="9">
        <v>39</v>
      </c>
      <c r="B40" t="s">
        <v>53</v>
      </c>
      <c r="C40" t="s">
        <v>54</v>
      </c>
      <c r="D40" s="1">
        <v>4</v>
      </c>
      <c r="E40" s="1" t="s">
        <v>33</v>
      </c>
      <c r="F40" s="1" t="s">
        <v>6</v>
      </c>
      <c r="G40" s="4">
        <v>3</v>
      </c>
    </row>
    <row r="41" spans="1:7" hidden="1" x14ac:dyDescent="0.2">
      <c r="A41" s="9">
        <v>40</v>
      </c>
      <c r="B41" t="s">
        <v>70</v>
      </c>
      <c r="C41" t="s">
        <v>71</v>
      </c>
      <c r="D41" s="1">
        <v>2</v>
      </c>
      <c r="E41" s="1" t="s">
        <v>25</v>
      </c>
      <c r="F41" s="1" t="s">
        <v>26</v>
      </c>
      <c r="G41" s="4">
        <v>3.5</v>
      </c>
    </row>
    <row r="42" spans="1:7" hidden="1" x14ac:dyDescent="0.2">
      <c r="A42" s="9">
        <v>41</v>
      </c>
      <c r="B42" t="s">
        <v>74</v>
      </c>
      <c r="C42" t="s">
        <v>75</v>
      </c>
      <c r="D42" s="1">
        <v>3</v>
      </c>
      <c r="E42" s="1" t="s">
        <v>30</v>
      </c>
      <c r="F42" s="1" t="s">
        <v>14</v>
      </c>
      <c r="G42" s="4">
        <v>2.5</v>
      </c>
    </row>
    <row r="43" spans="1:7" hidden="1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hidden="1" x14ac:dyDescent="0.2">
      <c r="A44" s="9">
        <v>43</v>
      </c>
      <c r="B44" t="s">
        <v>141</v>
      </c>
      <c r="C44" t="s">
        <v>161</v>
      </c>
      <c r="D44" s="1">
        <v>1</v>
      </c>
      <c r="E44" s="1" t="s">
        <v>140</v>
      </c>
      <c r="F44" s="1" t="s">
        <v>12</v>
      </c>
      <c r="G44" s="4">
        <v>3.7</v>
      </c>
    </row>
    <row r="45" spans="1:7" hidden="1" x14ac:dyDescent="0.2">
      <c r="A45" s="9">
        <v>44</v>
      </c>
      <c r="B45" s="8" t="s">
        <v>159</v>
      </c>
      <c r="C45" s="8" t="s">
        <v>160</v>
      </c>
      <c r="D45" s="1">
        <v>3</v>
      </c>
      <c r="E45" s="7" t="s">
        <v>119</v>
      </c>
      <c r="F45" s="7" t="s">
        <v>121</v>
      </c>
      <c r="G45" s="4">
        <v>4</v>
      </c>
    </row>
    <row r="46" spans="1:7" hidden="1" x14ac:dyDescent="0.2">
      <c r="A46" s="9">
        <v>45</v>
      </c>
      <c r="B46" s="8" t="s">
        <v>82</v>
      </c>
      <c r="C46" s="8" t="s">
        <v>157</v>
      </c>
      <c r="D46" s="1">
        <v>2</v>
      </c>
      <c r="E46" s="7" t="s">
        <v>32</v>
      </c>
      <c r="F46" s="7" t="s">
        <v>27</v>
      </c>
      <c r="G46" s="4">
        <v>2.5</v>
      </c>
    </row>
    <row r="47" spans="1:7" hidden="1" x14ac:dyDescent="0.2">
      <c r="A47" s="9">
        <v>46</v>
      </c>
      <c r="B47" t="s">
        <v>36</v>
      </c>
      <c r="C47" t="s">
        <v>37</v>
      </c>
      <c r="D47" s="1">
        <v>1</v>
      </c>
      <c r="E47" s="1" t="s">
        <v>7</v>
      </c>
      <c r="F47" s="1" t="s">
        <v>27</v>
      </c>
      <c r="G47" s="4">
        <v>1.2</v>
      </c>
    </row>
    <row r="48" spans="1:7" hidden="1" x14ac:dyDescent="0.2">
      <c r="A48" s="9">
        <v>47</v>
      </c>
      <c r="B48" t="s">
        <v>120</v>
      </c>
      <c r="C48" t="s">
        <v>62</v>
      </c>
      <c r="D48" s="1">
        <v>1</v>
      </c>
      <c r="E48" s="1" t="s">
        <v>15</v>
      </c>
      <c r="F48" s="1" t="s">
        <v>121</v>
      </c>
      <c r="G48" s="4">
        <v>3</v>
      </c>
    </row>
    <row r="49" spans="1:7" hidden="1" x14ac:dyDescent="0.2">
      <c r="A49" s="9">
        <v>48</v>
      </c>
      <c r="B49" t="s">
        <v>98</v>
      </c>
      <c r="C49" t="s">
        <v>99</v>
      </c>
      <c r="D49" s="1">
        <v>1</v>
      </c>
      <c r="E49" s="1" t="s">
        <v>9</v>
      </c>
      <c r="F49" s="1" t="s">
        <v>10</v>
      </c>
      <c r="G49" s="4">
        <v>1</v>
      </c>
    </row>
    <row r="50" spans="1:7" hidden="1" x14ac:dyDescent="0.2">
      <c r="A50" s="9">
        <v>49</v>
      </c>
      <c r="B50" t="s">
        <v>103</v>
      </c>
      <c r="C50" t="s">
        <v>104</v>
      </c>
      <c r="D50" s="1">
        <v>1</v>
      </c>
      <c r="E50" s="1" t="s">
        <v>11</v>
      </c>
      <c r="F50" s="1" t="s">
        <v>12</v>
      </c>
      <c r="G50" s="4">
        <v>0.25</v>
      </c>
    </row>
    <row r="51" spans="1:7" hidden="1" x14ac:dyDescent="0.2">
      <c r="A51" s="9">
        <v>50</v>
      </c>
      <c r="B51" t="s">
        <v>105</v>
      </c>
      <c r="C51" t="s">
        <v>106</v>
      </c>
      <c r="D51" s="1">
        <v>1</v>
      </c>
      <c r="E51" s="1" t="s">
        <v>11</v>
      </c>
      <c r="F51" s="1" t="s">
        <v>13</v>
      </c>
      <c r="G51" s="4">
        <v>3.8</v>
      </c>
    </row>
    <row r="52" spans="1:7" hidden="1" x14ac:dyDescent="0.2">
      <c r="A52" s="9">
        <v>51</v>
      </c>
      <c r="B52" t="s">
        <v>114</v>
      </c>
      <c r="C52" t="s">
        <v>115</v>
      </c>
      <c r="D52" s="1">
        <v>1</v>
      </c>
      <c r="E52" s="1" t="s">
        <v>11</v>
      </c>
      <c r="F52" s="1" t="s">
        <v>116</v>
      </c>
      <c r="G52" s="4">
        <v>4</v>
      </c>
    </row>
    <row r="53" spans="1:7" hidden="1" x14ac:dyDescent="0.2">
      <c r="A53" s="9">
        <v>52</v>
      </c>
      <c r="B53" s="5" t="s">
        <v>47</v>
      </c>
      <c r="C53" s="5" t="s">
        <v>129</v>
      </c>
      <c r="D53" s="1">
        <v>3</v>
      </c>
      <c r="E53" s="1" t="s">
        <v>11</v>
      </c>
      <c r="F53" s="6" t="s">
        <v>17</v>
      </c>
      <c r="G53" s="4">
        <v>3</v>
      </c>
    </row>
    <row r="54" spans="1:7" hidden="1" x14ac:dyDescent="0.2">
      <c r="A54" s="9">
        <v>53</v>
      </c>
      <c r="B54" t="s">
        <v>38</v>
      </c>
      <c r="C54" t="s">
        <v>39</v>
      </c>
      <c r="D54" s="1">
        <v>3</v>
      </c>
      <c r="E54" s="1" t="s">
        <v>7</v>
      </c>
      <c r="F54" s="1" t="s">
        <v>14</v>
      </c>
      <c r="G54" s="4">
        <v>3.3</v>
      </c>
    </row>
    <row r="55" spans="1:7" hidden="1" x14ac:dyDescent="0.2">
      <c r="A55" s="9">
        <v>54</v>
      </c>
      <c r="B55" t="s">
        <v>59</v>
      </c>
      <c r="C55" t="s">
        <v>60</v>
      </c>
      <c r="D55" s="1">
        <v>2</v>
      </c>
      <c r="E55" s="1" t="s">
        <v>18</v>
      </c>
      <c r="F55" s="1" t="s">
        <v>13</v>
      </c>
      <c r="G55" s="4">
        <v>1</v>
      </c>
    </row>
    <row r="56" spans="1:7" hidden="1" x14ac:dyDescent="0.2">
      <c r="A56" s="9">
        <v>55</v>
      </c>
      <c r="B56" t="s">
        <v>42</v>
      </c>
      <c r="C56" t="s">
        <v>43</v>
      </c>
      <c r="D56" s="1">
        <v>2</v>
      </c>
      <c r="E56" s="1" t="s">
        <v>11</v>
      </c>
      <c r="F56" s="1" t="s">
        <v>8</v>
      </c>
      <c r="G56" s="4">
        <v>2.2200000000000002</v>
      </c>
    </row>
    <row r="57" spans="1:7" hidden="1" x14ac:dyDescent="0.2">
      <c r="A57" s="9">
        <v>56</v>
      </c>
      <c r="B57" t="s">
        <v>65</v>
      </c>
      <c r="C57" t="s">
        <v>67</v>
      </c>
      <c r="D57" s="1">
        <v>4</v>
      </c>
      <c r="E57" s="1" t="s">
        <v>15</v>
      </c>
      <c r="F57" s="1" t="s">
        <v>16</v>
      </c>
      <c r="G57" s="4">
        <v>3.51</v>
      </c>
    </row>
    <row r="58" spans="1:7" hidden="1" x14ac:dyDescent="0.2">
      <c r="A58" s="9">
        <v>57</v>
      </c>
      <c r="B58" t="s">
        <v>98</v>
      </c>
      <c r="C58" t="s">
        <v>113</v>
      </c>
      <c r="D58" s="1">
        <v>2</v>
      </c>
      <c r="E58" s="1" t="s">
        <v>9</v>
      </c>
      <c r="F58" s="1" t="s">
        <v>28</v>
      </c>
      <c r="G58" s="4">
        <v>3.5</v>
      </c>
    </row>
    <row r="59" spans="1:7" hidden="1" x14ac:dyDescent="0.2">
      <c r="A59" s="9">
        <v>58</v>
      </c>
      <c r="B59" t="s">
        <v>164</v>
      </c>
      <c r="C59" t="s">
        <v>165</v>
      </c>
      <c r="D59" s="1">
        <v>2</v>
      </c>
      <c r="E59" s="1" t="s">
        <v>119</v>
      </c>
      <c r="F59" s="1" t="s">
        <v>29</v>
      </c>
      <c r="G59" s="4">
        <v>3</v>
      </c>
    </row>
    <row r="60" spans="1:7" hidden="1" x14ac:dyDescent="0.2">
      <c r="A60" s="9">
        <v>59</v>
      </c>
      <c r="B60" t="s">
        <v>126</v>
      </c>
      <c r="C60" t="s">
        <v>127</v>
      </c>
      <c r="D60" s="1">
        <v>4</v>
      </c>
      <c r="E60" s="1" t="s">
        <v>18</v>
      </c>
      <c r="F60" s="1" t="s">
        <v>121</v>
      </c>
      <c r="G60" s="4">
        <v>4</v>
      </c>
    </row>
    <row r="61" spans="1:7" hidden="1" x14ac:dyDescent="0.2">
      <c r="A61" s="9">
        <v>60</v>
      </c>
      <c r="B61" t="s">
        <v>47</v>
      </c>
      <c r="C61" t="s">
        <v>48</v>
      </c>
      <c r="D61" s="1">
        <v>4</v>
      </c>
      <c r="E61" s="1" t="s">
        <v>11</v>
      </c>
      <c r="F61" s="1" t="s">
        <v>10</v>
      </c>
      <c r="G61" s="4">
        <v>3</v>
      </c>
    </row>
    <row r="62" spans="1:7" hidden="1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hidden="1" x14ac:dyDescent="0.2">
      <c r="A63" s="9">
        <v>62</v>
      </c>
      <c r="B63" t="s">
        <v>122</v>
      </c>
      <c r="C63" t="s">
        <v>123</v>
      </c>
      <c r="D63" s="1">
        <v>2</v>
      </c>
      <c r="E63" s="1" t="s">
        <v>11</v>
      </c>
      <c r="F63" s="1" t="s">
        <v>121</v>
      </c>
      <c r="G63" s="4">
        <v>3</v>
      </c>
    </row>
    <row r="64" spans="1:7" hidden="1" x14ac:dyDescent="0.2">
      <c r="A64" s="9">
        <v>63</v>
      </c>
      <c r="B64" s="8" t="s">
        <v>68</v>
      </c>
      <c r="C64" s="8" t="s">
        <v>158</v>
      </c>
      <c r="D64" s="1">
        <v>3</v>
      </c>
      <c r="E64" s="7" t="s">
        <v>31</v>
      </c>
      <c r="F64" s="7" t="s">
        <v>29</v>
      </c>
      <c r="G64" s="4">
        <v>3</v>
      </c>
    </row>
    <row r="65" spans="1:7" hidden="1" x14ac:dyDescent="0.2">
      <c r="A65" s="9">
        <v>64</v>
      </c>
      <c r="B65" t="s">
        <v>124</v>
      </c>
      <c r="C65" t="s">
        <v>125</v>
      </c>
      <c r="D65" s="1">
        <v>2</v>
      </c>
      <c r="E65" s="1" t="s">
        <v>7</v>
      </c>
      <c r="F65" s="1" t="s">
        <v>121</v>
      </c>
      <c r="G65" s="4">
        <v>3.3</v>
      </c>
    </row>
    <row r="66" spans="1:7" hidden="1" x14ac:dyDescent="0.2">
      <c r="A66" s="9">
        <v>65</v>
      </c>
      <c r="B66" t="s">
        <v>169</v>
      </c>
      <c r="C66" t="s">
        <v>168</v>
      </c>
      <c r="D66" s="1">
        <v>4</v>
      </c>
      <c r="E66" s="1" t="s">
        <v>11</v>
      </c>
      <c r="F66" s="1" t="s">
        <v>10</v>
      </c>
      <c r="G66" s="4">
        <v>4</v>
      </c>
    </row>
    <row r="67" spans="1:7" hidden="1" x14ac:dyDescent="0.2">
      <c r="A67" s="9">
        <v>66</v>
      </c>
      <c r="B67" t="s">
        <v>92</v>
      </c>
      <c r="C67" t="s">
        <v>93</v>
      </c>
      <c r="D67" s="1">
        <v>2</v>
      </c>
      <c r="E67" s="1" t="s">
        <v>18</v>
      </c>
      <c r="F67" s="1" t="s">
        <v>14</v>
      </c>
      <c r="G67" s="4">
        <v>1.5</v>
      </c>
    </row>
    <row r="68" spans="1:7" hidden="1" x14ac:dyDescent="0.2">
      <c r="A68" s="9">
        <v>67</v>
      </c>
      <c r="B68" t="s">
        <v>68</v>
      </c>
      <c r="C68" t="s">
        <v>69</v>
      </c>
      <c r="D68" s="1">
        <v>3</v>
      </c>
      <c r="E68" s="1" t="s">
        <v>31</v>
      </c>
      <c r="F68" s="1" t="s">
        <v>5</v>
      </c>
      <c r="G68" s="4">
        <v>2.8</v>
      </c>
    </row>
    <row r="69" spans="1:7" x14ac:dyDescent="0.2">
      <c r="A69" s="9">
        <v>68</v>
      </c>
      <c r="B69" t="s">
        <v>55</v>
      </c>
      <c r="C69" t="s">
        <v>56</v>
      </c>
      <c r="D69" s="1">
        <v>2</v>
      </c>
      <c r="E69" s="1" t="s">
        <v>3</v>
      </c>
      <c r="F69" s="1" t="s">
        <v>5</v>
      </c>
      <c r="G69" s="4">
        <v>4</v>
      </c>
    </row>
    <row r="70" spans="1:7" hidden="1" x14ac:dyDescent="0.2">
      <c r="A70" s="9">
        <v>69</v>
      </c>
      <c r="B70" t="s">
        <v>166</v>
      </c>
      <c r="C70" t="s">
        <v>167</v>
      </c>
      <c r="D70" s="1">
        <v>3</v>
      </c>
      <c r="E70" s="1" t="s">
        <v>119</v>
      </c>
      <c r="F70" s="1" t="s">
        <v>14</v>
      </c>
      <c r="G70" s="4">
        <v>3.5</v>
      </c>
    </row>
    <row r="71" spans="1:7" hidden="1" x14ac:dyDescent="0.2">
      <c r="A71" s="9">
        <v>70</v>
      </c>
      <c r="B71" t="s">
        <v>171</v>
      </c>
      <c r="C71" t="s">
        <v>172</v>
      </c>
      <c r="D71" s="1">
        <v>4</v>
      </c>
      <c r="E71" s="1" t="s">
        <v>11</v>
      </c>
      <c r="F71" s="1" t="s">
        <v>173</v>
      </c>
      <c r="G71" s="4">
        <v>3.34</v>
      </c>
    </row>
    <row r="72" spans="1:7" x14ac:dyDescent="0.2">
      <c r="A72" s="9"/>
    </row>
    <row r="73" spans="1:7" x14ac:dyDescent="0.2">
      <c r="A73" s="2" t="s">
        <v>135</v>
      </c>
      <c r="B73" s="2" t="s">
        <v>34</v>
      </c>
      <c r="C73" s="2" t="s">
        <v>35</v>
      </c>
      <c r="D73" s="2" t="s">
        <v>0</v>
      </c>
      <c r="E73" s="2" t="s">
        <v>1</v>
      </c>
      <c r="F73" s="2" t="s">
        <v>4</v>
      </c>
      <c r="G73" s="3" t="s">
        <v>170</v>
      </c>
    </row>
    <row r="74" spans="1:7" x14ac:dyDescent="0.2">
      <c r="A74"/>
      <c r="D74"/>
      <c r="E74" s="10" t="s">
        <v>3</v>
      </c>
      <c r="F74"/>
      <c r="G74"/>
    </row>
    <row r="75" spans="1:7" x14ac:dyDescent="0.2">
      <c r="A75"/>
      <c r="D75"/>
      <c r="E75"/>
      <c r="F75"/>
      <c r="G75"/>
    </row>
    <row r="76" spans="1:7" x14ac:dyDescent="0.2">
      <c r="A76"/>
      <c r="D76"/>
      <c r="E76"/>
      <c r="F76"/>
      <c r="G76"/>
    </row>
    <row r="77" spans="1:7" x14ac:dyDescent="0.2">
      <c r="A77"/>
      <c r="D77"/>
      <c r="E77"/>
      <c r="F77"/>
      <c r="G77"/>
    </row>
    <row r="78" spans="1:7" x14ac:dyDescent="0.2">
      <c r="A78"/>
      <c r="D78"/>
      <c r="E78"/>
      <c r="F78"/>
      <c r="G78"/>
    </row>
    <row r="79" spans="1:7" x14ac:dyDescent="0.2">
      <c r="A79"/>
      <c r="D79"/>
      <c r="E79"/>
      <c r="F79"/>
      <c r="G79"/>
    </row>
    <row r="80" spans="1:7" x14ac:dyDescent="0.2">
      <c r="A80"/>
      <c r="D80"/>
      <c r="E80"/>
      <c r="F80"/>
      <c r="G80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66"/>
  </sheetPr>
  <dimension ref="A1:G80"/>
  <sheetViews>
    <sheetView zoomScaleNormal="100" workbookViewId="0">
      <pane ySplit="1" topLeftCell="A43" activePane="bottomLeft" state="frozen"/>
      <selection pane="bottomLeft" activeCell="D74" sqref="D74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12.140625" style="4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170</v>
      </c>
    </row>
    <row r="2" spans="1:7" hidden="1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hidden="1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hidden="1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hidden="1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hidden="1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hidden="1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hidden="1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hidden="1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hidden="1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hidden="1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hidden="1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hidden="1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hidden="1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hidden="1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hidden="1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hidden="1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hidden="1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hidden="1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hidden="1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hidden="1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hidden="1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hidden="1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hidden="1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hidden="1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hidden="1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hidden="1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hidden="1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hidden="1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hidden="1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hidden="1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hidden="1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hidden="1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hidden="1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hidden="1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hidden="1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hidden="1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hidden="1" x14ac:dyDescent="0.2">
      <c r="A40" s="9">
        <v>39</v>
      </c>
      <c r="B40" t="s">
        <v>53</v>
      </c>
      <c r="C40" t="s">
        <v>54</v>
      </c>
      <c r="D40" s="1">
        <v>4</v>
      </c>
      <c r="E40" s="1" t="s">
        <v>33</v>
      </c>
      <c r="F40" s="1" t="s">
        <v>6</v>
      </c>
      <c r="G40" s="4">
        <v>3</v>
      </c>
    </row>
    <row r="41" spans="1:7" hidden="1" x14ac:dyDescent="0.2">
      <c r="A41" s="9">
        <v>40</v>
      </c>
      <c r="B41" t="s">
        <v>70</v>
      </c>
      <c r="C41" t="s">
        <v>71</v>
      </c>
      <c r="D41" s="1">
        <v>2</v>
      </c>
      <c r="E41" s="1" t="s">
        <v>25</v>
      </c>
      <c r="F41" s="1" t="s">
        <v>26</v>
      </c>
      <c r="G41" s="4">
        <v>3.5</v>
      </c>
    </row>
    <row r="42" spans="1:7" hidden="1" x14ac:dyDescent="0.2">
      <c r="A42" s="9">
        <v>41</v>
      </c>
      <c r="B42" t="s">
        <v>74</v>
      </c>
      <c r="C42" t="s">
        <v>75</v>
      </c>
      <c r="D42" s="1">
        <v>3</v>
      </c>
      <c r="E42" s="1" t="s">
        <v>30</v>
      </c>
      <c r="F42" s="1" t="s">
        <v>14</v>
      </c>
      <c r="G42" s="4">
        <v>2.5</v>
      </c>
    </row>
    <row r="43" spans="1:7" hidden="1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hidden="1" x14ac:dyDescent="0.2">
      <c r="A44" s="9">
        <v>43</v>
      </c>
      <c r="B44" t="s">
        <v>141</v>
      </c>
      <c r="C44" t="s">
        <v>161</v>
      </c>
      <c r="D44" s="1">
        <v>1</v>
      </c>
      <c r="E44" s="1" t="s">
        <v>140</v>
      </c>
      <c r="F44" s="1" t="s">
        <v>12</v>
      </c>
      <c r="G44" s="4">
        <v>3.7</v>
      </c>
    </row>
    <row r="45" spans="1:7" hidden="1" x14ac:dyDescent="0.2">
      <c r="A45" s="9">
        <v>44</v>
      </c>
      <c r="B45" s="8" t="s">
        <v>159</v>
      </c>
      <c r="C45" s="8" t="s">
        <v>160</v>
      </c>
      <c r="D45" s="1">
        <v>3</v>
      </c>
      <c r="E45" s="7" t="s">
        <v>119</v>
      </c>
      <c r="F45" s="7" t="s">
        <v>121</v>
      </c>
      <c r="G45" s="4">
        <v>4</v>
      </c>
    </row>
    <row r="46" spans="1:7" hidden="1" x14ac:dyDescent="0.2">
      <c r="A46" s="9">
        <v>45</v>
      </c>
      <c r="B46" s="8" t="s">
        <v>82</v>
      </c>
      <c r="C46" s="8" t="s">
        <v>157</v>
      </c>
      <c r="D46" s="1">
        <v>2</v>
      </c>
      <c r="E46" s="7" t="s">
        <v>32</v>
      </c>
      <c r="F46" s="7" t="s">
        <v>27</v>
      </c>
      <c r="G46" s="4">
        <v>2.5</v>
      </c>
    </row>
    <row r="47" spans="1:7" hidden="1" x14ac:dyDescent="0.2">
      <c r="A47" s="9">
        <v>46</v>
      </c>
      <c r="B47" t="s">
        <v>36</v>
      </c>
      <c r="C47" t="s">
        <v>37</v>
      </c>
      <c r="D47" s="1">
        <v>1</v>
      </c>
      <c r="E47" s="1" t="s">
        <v>7</v>
      </c>
      <c r="F47" s="1" t="s">
        <v>27</v>
      </c>
      <c r="G47" s="4">
        <v>1.2</v>
      </c>
    </row>
    <row r="48" spans="1:7" hidden="1" x14ac:dyDescent="0.2">
      <c r="A48" s="9">
        <v>47</v>
      </c>
      <c r="B48" t="s">
        <v>120</v>
      </c>
      <c r="C48" t="s">
        <v>62</v>
      </c>
      <c r="D48" s="1">
        <v>1</v>
      </c>
      <c r="E48" s="1" t="s">
        <v>15</v>
      </c>
      <c r="F48" s="1" t="s">
        <v>121</v>
      </c>
      <c r="G48" s="4">
        <v>3</v>
      </c>
    </row>
    <row r="49" spans="1:7" hidden="1" x14ac:dyDescent="0.2">
      <c r="A49" s="9">
        <v>48</v>
      </c>
      <c r="B49" t="s">
        <v>98</v>
      </c>
      <c r="C49" t="s">
        <v>99</v>
      </c>
      <c r="D49" s="1">
        <v>1</v>
      </c>
      <c r="E49" s="1" t="s">
        <v>9</v>
      </c>
      <c r="F49" s="1" t="s">
        <v>10</v>
      </c>
      <c r="G49" s="4">
        <v>1</v>
      </c>
    </row>
    <row r="50" spans="1:7" x14ac:dyDescent="0.2">
      <c r="A50" s="9">
        <v>49</v>
      </c>
      <c r="B50" t="s">
        <v>103</v>
      </c>
      <c r="C50" t="s">
        <v>104</v>
      </c>
      <c r="D50" s="1">
        <v>1</v>
      </c>
      <c r="E50" s="1" t="s">
        <v>11</v>
      </c>
      <c r="F50" s="1" t="s">
        <v>12</v>
      </c>
      <c r="G50" s="4">
        <v>0.25</v>
      </c>
    </row>
    <row r="51" spans="1:7" x14ac:dyDescent="0.2">
      <c r="A51" s="9">
        <v>50</v>
      </c>
      <c r="B51" t="s">
        <v>105</v>
      </c>
      <c r="C51" t="s">
        <v>106</v>
      </c>
      <c r="D51" s="1">
        <v>1</v>
      </c>
      <c r="E51" s="1" t="s">
        <v>11</v>
      </c>
      <c r="F51" s="1" t="s">
        <v>13</v>
      </c>
      <c r="G51" s="4">
        <v>3.8</v>
      </c>
    </row>
    <row r="52" spans="1:7" x14ac:dyDescent="0.2">
      <c r="A52" s="9">
        <v>51</v>
      </c>
      <c r="B52" t="s">
        <v>114</v>
      </c>
      <c r="C52" t="s">
        <v>115</v>
      </c>
      <c r="D52" s="1">
        <v>1</v>
      </c>
      <c r="E52" s="1" t="s">
        <v>11</v>
      </c>
      <c r="F52" s="1" t="s">
        <v>116</v>
      </c>
      <c r="G52" s="4">
        <v>4</v>
      </c>
    </row>
    <row r="53" spans="1:7" hidden="1" x14ac:dyDescent="0.2">
      <c r="A53" s="9">
        <v>52</v>
      </c>
      <c r="B53" s="5" t="s">
        <v>47</v>
      </c>
      <c r="C53" s="5" t="s">
        <v>129</v>
      </c>
      <c r="D53" s="1">
        <v>3</v>
      </c>
      <c r="E53" s="1" t="s">
        <v>11</v>
      </c>
      <c r="F53" s="6" t="s">
        <v>17</v>
      </c>
      <c r="G53" s="4">
        <v>3</v>
      </c>
    </row>
    <row r="54" spans="1:7" hidden="1" x14ac:dyDescent="0.2">
      <c r="A54" s="9">
        <v>53</v>
      </c>
      <c r="B54" t="s">
        <v>38</v>
      </c>
      <c r="C54" t="s">
        <v>39</v>
      </c>
      <c r="D54" s="1">
        <v>3</v>
      </c>
      <c r="E54" s="1" t="s">
        <v>7</v>
      </c>
      <c r="F54" s="1" t="s">
        <v>14</v>
      </c>
      <c r="G54" s="4">
        <v>3.3</v>
      </c>
    </row>
    <row r="55" spans="1:7" hidden="1" x14ac:dyDescent="0.2">
      <c r="A55" s="9">
        <v>54</v>
      </c>
      <c r="B55" t="s">
        <v>59</v>
      </c>
      <c r="C55" t="s">
        <v>60</v>
      </c>
      <c r="D55" s="1">
        <v>2</v>
      </c>
      <c r="E55" s="1" t="s">
        <v>18</v>
      </c>
      <c r="F55" s="1" t="s">
        <v>13</v>
      </c>
      <c r="G55" s="4">
        <v>1</v>
      </c>
    </row>
    <row r="56" spans="1:7" hidden="1" x14ac:dyDescent="0.2">
      <c r="A56" s="9">
        <v>55</v>
      </c>
      <c r="B56" t="s">
        <v>42</v>
      </c>
      <c r="C56" t="s">
        <v>43</v>
      </c>
      <c r="D56" s="1">
        <v>2</v>
      </c>
      <c r="E56" s="1" t="s">
        <v>11</v>
      </c>
      <c r="F56" s="1" t="s">
        <v>8</v>
      </c>
      <c r="G56" s="4">
        <v>2.2200000000000002</v>
      </c>
    </row>
    <row r="57" spans="1:7" hidden="1" x14ac:dyDescent="0.2">
      <c r="A57" s="9">
        <v>56</v>
      </c>
      <c r="B57" t="s">
        <v>65</v>
      </c>
      <c r="C57" t="s">
        <v>67</v>
      </c>
      <c r="D57" s="1">
        <v>4</v>
      </c>
      <c r="E57" s="1" t="s">
        <v>15</v>
      </c>
      <c r="F57" s="1" t="s">
        <v>16</v>
      </c>
      <c r="G57" s="4">
        <v>3.51</v>
      </c>
    </row>
    <row r="58" spans="1:7" hidden="1" x14ac:dyDescent="0.2">
      <c r="A58" s="9">
        <v>57</v>
      </c>
      <c r="B58" t="s">
        <v>98</v>
      </c>
      <c r="C58" t="s">
        <v>113</v>
      </c>
      <c r="D58" s="1">
        <v>2</v>
      </c>
      <c r="E58" s="1" t="s">
        <v>9</v>
      </c>
      <c r="F58" s="1" t="s">
        <v>28</v>
      </c>
      <c r="G58" s="4">
        <v>3.5</v>
      </c>
    </row>
    <row r="59" spans="1:7" hidden="1" x14ac:dyDescent="0.2">
      <c r="A59" s="9">
        <v>58</v>
      </c>
      <c r="B59" t="s">
        <v>164</v>
      </c>
      <c r="C59" t="s">
        <v>165</v>
      </c>
      <c r="D59" s="1">
        <v>2</v>
      </c>
      <c r="E59" s="1" t="s">
        <v>119</v>
      </c>
      <c r="F59" s="1" t="s">
        <v>29</v>
      </c>
      <c r="G59" s="4">
        <v>3</v>
      </c>
    </row>
    <row r="60" spans="1:7" hidden="1" x14ac:dyDescent="0.2">
      <c r="A60" s="9">
        <v>59</v>
      </c>
      <c r="B60" t="s">
        <v>126</v>
      </c>
      <c r="C60" t="s">
        <v>127</v>
      </c>
      <c r="D60" s="1">
        <v>4</v>
      </c>
      <c r="E60" s="1" t="s">
        <v>18</v>
      </c>
      <c r="F60" s="1" t="s">
        <v>121</v>
      </c>
      <c r="G60" s="4">
        <v>4</v>
      </c>
    </row>
    <row r="61" spans="1:7" hidden="1" x14ac:dyDescent="0.2">
      <c r="A61" s="9">
        <v>60</v>
      </c>
      <c r="B61" t="s">
        <v>47</v>
      </c>
      <c r="C61" t="s">
        <v>48</v>
      </c>
      <c r="D61" s="1">
        <v>4</v>
      </c>
      <c r="E61" s="1" t="s">
        <v>11</v>
      </c>
      <c r="F61" s="1" t="s">
        <v>10</v>
      </c>
      <c r="G61" s="4">
        <v>3</v>
      </c>
    </row>
    <row r="62" spans="1:7" hidden="1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hidden="1" x14ac:dyDescent="0.2">
      <c r="A63" s="9">
        <v>62</v>
      </c>
      <c r="B63" t="s">
        <v>122</v>
      </c>
      <c r="C63" t="s">
        <v>123</v>
      </c>
      <c r="D63" s="1">
        <v>2</v>
      </c>
      <c r="E63" s="1" t="s">
        <v>11</v>
      </c>
      <c r="F63" s="1" t="s">
        <v>121</v>
      </c>
      <c r="G63" s="4">
        <v>3</v>
      </c>
    </row>
    <row r="64" spans="1:7" hidden="1" x14ac:dyDescent="0.2">
      <c r="A64" s="9">
        <v>63</v>
      </c>
      <c r="B64" s="8" t="s">
        <v>68</v>
      </c>
      <c r="C64" s="8" t="s">
        <v>158</v>
      </c>
      <c r="D64" s="1">
        <v>3</v>
      </c>
      <c r="E64" s="7" t="s">
        <v>31</v>
      </c>
      <c r="F64" s="7" t="s">
        <v>29</v>
      </c>
      <c r="G64" s="4">
        <v>3</v>
      </c>
    </row>
    <row r="65" spans="1:7" hidden="1" x14ac:dyDescent="0.2">
      <c r="A65" s="9">
        <v>64</v>
      </c>
      <c r="B65" t="s">
        <v>124</v>
      </c>
      <c r="C65" t="s">
        <v>125</v>
      </c>
      <c r="D65" s="1">
        <v>2</v>
      </c>
      <c r="E65" s="1" t="s">
        <v>7</v>
      </c>
      <c r="F65" s="1" t="s">
        <v>121</v>
      </c>
      <c r="G65" s="4">
        <v>3.3</v>
      </c>
    </row>
    <row r="66" spans="1:7" hidden="1" x14ac:dyDescent="0.2">
      <c r="A66" s="9">
        <v>65</v>
      </c>
      <c r="B66" t="s">
        <v>169</v>
      </c>
      <c r="C66" t="s">
        <v>168</v>
      </c>
      <c r="D66" s="1">
        <v>4</v>
      </c>
      <c r="E66" s="1" t="s">
        <v>11</v>
      </c>
      <c r="F66" s="1" t="s">
        <v>10</v>
      </c>
      <c r="G66" s="4">
        <v>4</v>
      </c>
    </row>
    <row r="67" spans="1:7" hidden="1" x14ac:dyDescent="0.2">
      <c r="A67" s="9">
        <v>66</v>
      </c>
      <c r="B67" t="s">
        <v>92</v>
      </c>
      <c r="C67" t="s">
        <v>93</v>
      </c>
      <c r="D67" s="1">
        <v>2</v>
      </c>
      <c r="E67" s="1" t="s">
        <v>18</v>
      </c>
      <c r="F67" s="1" t="s">
        <v>14</v>
      </c>
      <c r="G67" s="4">
        <v>1.5</v>
      </c>
    </row>
    <row r="68" spans="1:7" hidden="1" x14ac:dyDescent="0.2">
      <c r="A68" s="9">
        <v>67</v>
      </c>
      <c r="B68" t="s">
        <v>68</v>
      </c>
      <c r="C68" t="s">
        <v>69</v>
      </c>
      <c r="D68" s="1">
        <v>3</v>
      </c>
      <c r="E68" s="1" t="s">
        <v>31</v>
      </c>
      <c r="F68" s="1" t="s">
        <v>5</v>
      </c>
      <c r="G68" s="4">
        <v>2.8</v>
      </c>
    </row>
    <row r="69" spans="1:7" hidden="1" x14ac:dyDescent="0.2">
      <c r="A69" s="9">
        <v>68</v>
      </c>
      <c r="B69" t="s">
        <v>55</v>
      </c>
      <c r="C69" t="s">
        <v>56</v>
      </c>
      <c r="D69" s="1">
        <v>2</v>
      </c>
      <c r="E69" s="1" t="s">
        <v>3</v>
      </c>
      <c r="F69" s="1" t="s">
        <v>5</v>
      </c>
      <c r="G69" s="4">
        <v>4</v>
      </c>
    </row>
    <row r="70" spans="1:7" hidden="1" x14ac:dyDescent="0.2">
      <c r="A70" s="9">
        <v>69</v>
      </c>
      <c r="B70" t="s">
        <v>166</v>
      </c>
      <c r="C70" t="s">
        <v>167</v>
      </c>
      <c r="D70" s="1">
        <v>3</v>
      </c>
      <c r="E70" s="1" t="s">
        <v>119</v>
      </c>
      <c r="F70" s="1" t="s">
        <v>14</v>
      </c>
      <c r="G70" s="4">
        <v>3.5</v>
      </c>
    </row>
    <row r="71" spans="1:7" hidden="1" x14ac:dyDescent="0.2">
      <c r="A71" s="9">
        <v>70</v>
      </c>
      <c r="B71" t="s">
        <v>171</v>
      </c>
      <c r="C71" t="s">
        <v>172</v>
      </c>
      <c r="D71" s="1">
        <v>4</v>
      </c>
      <c r="E71" s="1" t="s">
        <v>11</v>
      </c>
      <c r="F71" s="1" t="s">
        <v>173</v>
      </c>
      <c r="G71" s="4">
        <v>3.34</v>
      </c>
    </row>
    <row r="72" spans="1:7" x14ac:dyDescent="0.2">
      <c r="A72" s="9"/>
    </row>
    <row r="73" spans="1:7" x14ac:dyDescent="0.2">
      <c r="A73" s="2" t="s">
        <v>135</v>
      </c>
      <c r="B73" s="2" t="s">
        <v>34</v>
      </c>
      <c r="C73" s="2" t="s">
        <v>35</v>
      </c>
      <c r="D73" s="2" t="s">
        <v>0</v>
      </c>
      <c r="E73" s="2" t="s">
        <v>1</v>
      </c>
      <c r="F73" s="2" t="s">
        <v>4</v>
      </c>
      <c r="G73" s="3" t="s">
        <v>170</v>
      </c>
    </row>
    <row r="74" spans="1:7" x14ac:dyDescent="0.2">
      <c r="A74"/>
      <c r="D74" s="10">
        <v>1</v>
      </c>
      <c r="E74" s="10" t="s">
        <v>11</v>
      </c>
      <c r="F74"/>
      <c r="G74"/>
    </row>
    <row r="75" spans="1:7" x14ac:dyDescent="0.2">
      <c r="A75"/>
      <c r="D75"/>
      <c r="E75"/>
      <c r="F75"/>
      <c r="G75"/>
    </row>
    <row r="76" spans="1:7" x14ac:dyDescent="0.2">
      <c r="A76"/>
      <c r="D76"/>
      <c r="E76"/>
      <c r="F76"/>
      <c r="G76"/>
    </row>
    <row r="77" spans="1:7" x14ac:dyDescent="0.2">
      <c r="A77"/>
      <c r="D77"/>
      <c r="E77"/>
      <c r="F77"/>
      <c r="G77"/>
    </row>
    <row r="78" spans="1:7" x14ac:dyDescent="0.2">
      <c r="A78"/>
      <c r="D78"/>
      <c r="E78"/>
      <c r="F78"/>
      <c r="G78"/>
    </row>
    <row r="79" spans="1:7" x14ac:dyDescent="0.2">
      <c r="A79"/>
      <c r="D79"/>
      <c r="E79"/>
      <c r="F79"/>
      <c r="G79"/>
    </row>
    <row r="80" spans="1:7" x14ac:dyDescent="0.2">
      <c r="A80"/>
      <c r="D80"/>
      <c r="E80"/>
      <c r="F80"/>
      <c r="G80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66"/>
  </sheetPr>
  <dimension ref="A1:G80"/>
  <sheetViews>
    <sheetView zoomScaleNormal="100" workbookViewId="0">
      <pane ySplit="1" topLeftCell="A54" activePane="bottomLeft" state="frozen"/>
      <selection pane="bottomLeft" sqref="A1:G71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15.140625" style="4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170</v>
      </c>
    </row>
    <row r="2" spans="1:7" hidden="1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hidden="1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hidden="1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hidden="1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hidden="1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hidden="1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hidden="1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hidden="1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hidden="1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hidden="1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hidden="1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hidden="1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hidden="1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hidden="1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hidden="1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hidden="1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hidden="1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hidden="1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hidden="1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hidden="1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hidden="1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hidden="1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hidden="1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hidden="1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hidden="1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hidden="1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hidden="1" x14ac:dyDescent="0.2">
      <c r="A40" s="9">
        <v>39</v>
      </c>
      <c r="B40" t="s">
        <v>53</v>
      </c>
      <c r="C40" t="s">
        <v>54</v>
      </c>
      <c r="D40" s="1">
        <v>4</v>
      </c>
      <c r="E40" s="1" t="s">
        <v>33</v>
      </c>
      <c r="F40" s="1" t="s">
        <v>6</v>
      </c>
      <c r="G40" s="4">
        <v>3</v>
      </c>
    </row>
    <row r="41" spans="1:7" hidden="1" x14ac:dyDescent="0.2">
      <c r="A41" s="9">
        <v>40</v>
      </c>
      <c r="B41" t="s">
        <v>70</v>
      </c>
      <c r="C41" t="s">
        <v>71</v>
      </c>
      <c r="D41" s="1">
        <v>2</v>
      </c>
      <c r="E41" s="1" t="s">
        <v>25</v>
      </c>
      <c r="F41" s="1" t="s">
        <v>26</v>
      </c>
      <c r="G41" s="4">
        <v>3.5</v>
      </c>
    </row>
    <row r="42" spans="1:7" hidden="1" x14ac:dyDescent="0.2">
      <c r="A42" s="9">
        <v>41</v>
      </c>
      <c r="B42" t="s">
        <v>74</v>
      </c>
      <c r="C42" t="s">
        <v>75</v>
      </c>
      <c r="D42" s="1">
        <v>3</v>
      </c>
      <c r="E42" s="1" t="s">
        <v>30</v>
      </c>
      <c r="F42" s="1" t="s">
        <v>14</v>
      </c>
      <c r="G42" s="4">
        <v>2.5</v>
      </c>
    </row>
    <row r="43" spans="1:7" hidden="1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hidden="1" x14ac:dyDescent="0.2">
      <c r="A44" s="9">
        <v>43</v>
      </c>
      <c r="B44" t="s">
        <v>141</v>
      </c>
      <c r="C44" t="s">
        <v>161</v>
      </c>
      <c r="D44" s="1">
        <v>1</v>
      </c>
      <c r="E44" s="1" t="s">
        <v>140</v>
      </c>
      <c r="F44" s="1" t="s">
        <v>12</v>
      </c>
      <c r="G44" s="4">
        <v>3.7</v>
      </c>
    </row>
    <row r="45" spans="1:7" hidden="1" x14ac:dyDescent="0.2">
      <c r="A45" s="9">
        <v>44</v>
      </c>
      <c r="B45" s="8" t="s">
        <v>159</v>
      </c>
      <c r="C45" s="8" t="s">
        <v>160</v>
      </c>
      <c r="D45" s="1">
        <v>3</v>
      </c>
      <c r="E45" s="7" t="s">
        <v>119</v>
      </c>
      <c r="F45" s="7" t="s">
        <v>121</v>
      </c>
      <c r="G45" s="4">
        <v>4</v>
      </c>
    </row>
    <row r="46" spans="1:7" hidden="1" x14ac:dyDescent="0.2">
      <c r="A46" s="9">
        <v>45</v>
      </c>
      <c r="B46" s="8" t="s">
        <v>82</v>
      </c>
      <c r="C46" s="8" t="s">
        <v>157</v>
      </c>
      <c r="D46" s="1">
        <v>2</v>
      </c>
      <c r="E46" s="7" t="s">
        <v>32</v>
      </c>
      <c r="F46" s="7" t="s">
        <v>27</v>
      </c>
      <c r="G46" s="4">
        <v>2.5</v>
      </c>
    </row>
    <row r="47" spans="1:7" hidden="1" x14ac:dyDescent="0.2">
      <c r="A47" s="9">
        <v>46</v>
      </c>
      <c r="B47" t="s">
        <v>36</v>
      </c>
      <c r="C47" t="s">
        <v>37</v>
      </c>
      <c r="D47" s="1">
        <v>1</v>
      </c>
      <c r="E47" s="1" t="s">
        <v>7</v>
      </c>
      <c r="F47" s="1" t="s">
        <v>27</v>
      </c>
      <c r="G47" s="4">
        <v>1.2</v>
      </c>
    </row>
    <row r="48" spans="1:7" hidden="1" x14ac:dyDescent="0.2">
      <c r="A48" s="9">
        <v>47</v>
      </c>
      <c r="B48" t="s">
        <v>120</v>
      </c>
      <c r="C48" t="s">
        <v>62</v>
      </c>
      <c r="D48" s="1">
        <v>1</v>
      </c>
      <c r="E48" s="1" t="s">
        <v>15</v>
      </c>
      <c r="F48" s="1" t="s">
        <v>121</v>
      </c>
      <c r="G48" s="4">
        <v>3</v>
      </c>
    </row>
    <row r="49" spans="1:7" hidden="1" x14ac:dyDescent="0.2">
      <c r="A49" s="9">
        <v>48</v>
      </c>
      <c r="B49" t="s">
        <v>98</v>
      </c>
      <c r="C49" t="s">
        <v>99</v>
      </c>
      <c r="D49" s="1">
        <v>1</v>
      </c>
      <c r="E49" s="1" t="s">
        <v>9</v>
      </c>
      <c r="F49" s="1" t="s">
        <v>10</v>
      </c>
      <c r="G49" s="4">
        <v>1</v>
      </c>
    </row>
    <row r="50" spans="1:7" x14ac:dyDescent="0.2">
      <c r="A50" s="9">
        <v>49</v>
      </c>
      <c r="B50" t="s">
        <v>103</v>
      </c>
      <c r="C50" t="s">
        <v>104</v>
      </c>
      <c r="D50" s="1">
        <v>1</v>
      </c>
      <c r="E50" s="1" t="s">
        <v>11</v>
      </c>
      <c r="F50" s="1" t="s">
        <v>12</v>
      </c>
      <c r="G50" s="4">
        <v>0.25</v>
      </c>
    </row>
    <row r="51" spans="1:7" x14ac:dyDescent="0.2">
      <c r="A51" s="9">
        <v>50</v>
      </c>
      <c r="B51" t="s">
        <v>105</v>
      </c>
      <c r="C51" t="s">
        <v>106</v>
      </c>
      <c r="D51" s="1">
        <v>1</v>
      </c>
      <c r="E51" s="1" t="s">
        <v>11</v>
      </c>
      <c r="F51" s="1" t="s">
        <v>13</v>
      </c>
      <c r="G51" s="4">
        <v>3.8</v>
      </c>
    </row>
    <row r="52" spans="1:7" x14ac:dyDescent="0.2">
      <c r="A52" s="9">
        <v>51</v>
      </c>
      <c r="B52" t="s">
        <v>114</v>
      </c>
      <c r="C52" t="s">
        <v>115</v>
      </c>
      <c r="D52" s="1">
        <v>1</v>
      </c>
      <c r="E52" s="1" t="s">
        <v>11</v>
      </c>
      <c r="F52" s="1" t="s">
        <v>116</v>
      </c>
      <c r="G52" s="4">
        <v>4</v>
      </c>
    </row>
    <row r="53" spans="1:7" x14ac:dyDescent="0.2">
      <c r="A53" s="9">
        <v>52</v>
      </c>
      <c r="B53" s="5" t="s">
        <v>47</v>
      </c>
      <c r="C53" s="5" t="s">
        <v>129</v>
      </c>
      <c r="D53" s="1">
        <v>3</v>
      </c>
      <c r="E53" s="1" t="s">
        <v>11</v>
      </c>
      <c r="F53" s="6" t="s">
        <v>17</v>
      </c>
      <c r="G53" s="4">
        <v>3</v>
      </c>
    </row>
    <row r="54" spans="1:7" hidden="1" x14ac:dyDescent="0.2">
      <c r="A54" s="9">
        <v>53</v>
      </c>
      <c r="B54" t="s">
        <v>38</v>
      </c>
      <c r="C54" t="s">
        <v>39</v>
      </c>
      <c r="D54" s="1">
        <v>3</v>
      </c>
      <c r="E54" s="1" t="s">
        <v>7</v>
      </c>
      <c r="F54" s="1" t="s">
        <v>14</v>
      </c>
      <c r="G54" s="4">
        <v>3.3</v>
      </c>
    </row>
    <row r="55" spans="1:7" hidden="1" x14ac:dyDescent="0.2">
      <c r="A55" s="9">
        <v>54</v>
      </c>
      <c r="B55" t="s">
        <v>59</v>
      </c>
      <c r="C55" t="s">
        <v>60</v>
      </c>
      <c r="D55" s="1">
        <v>2</v>
      </c>
      <c r="E55" s="1" t="s">
        <v>18</v>
      </c>
      <c r="F55" s="1" t="s">
        <v>13</v>
      </c>
      <c r="G55" s="4">
        <v>1</v>
      </c>
    </row>
    <row r="56" spans="1:7" x14ac:dyDescent="0.2">
      <c r="A56" s="9">
        <v>55</v>
      </c>
      <c r="B56" t="s">
        <v>42</v>
      </c>
      <c r="C56" t="s">
        <v>43</v>
      </c>
      <c r="D56" s="1">
        <v>2</v>
      </c>
      <c r="E56" s="1" t="s">
        <v>11</v>
      </c>
      <c r="F56" s="1" t="s">
        <v>8</v>
      </c>
      <c r="G56" s="4">
        <v>2.2200000000000002</v>
      </c>
    </row>
    <row r="57" spans="1:7" hidden="1" x14ac:dyDescent="0.2">
      <c r="A57" s="9">
        <v>56</v>
      </c>
      <c r="B57" t="s">
        <v>65</v>
      </c>
      <c r="C57" t="s">
        <v>67</v>
      </c>
      <c r="D57" s="1">
        <v>4</v>
      </c>
      <c r="E57" s="1" t="s">
        <v>15</v>
      </c>
      <c r="F57" s="1" t="s">
        <v>16</v>
      </c>
      <c r="G57" s="4">
        <v>3.51</v>
      </c>
    </row>
    <row r="58" spans="1:7" hidden="1" x14ac:dyDescent="0.2">
      <c r="A58" s="9">
        <v>57</v>
      </c>
      <c r="B58" t="s">
        <v>98</v>
      </c>
      <c r="C58" t="s">
        <v>113</v>
      </c>
      <c r="D58" s="1">
        <v>2</v>
      </c>
      <c r="E58" s="1" t="s">
        <v>9</v>
      </c>
      <c r="F58" s="1" t="s">
        <v>28</v>
      </c>
      <c r="G58" s="4">
        <v>3.5</v>
      </c>
    </row>
    <row r="59" spans="1:7" hidden="1" x14ac:dyDescent="0.2">
      <c r="A59" s="9">
        <v>58</v>
      </c>
      <c r="B59" t="s">
        <v>164</v>
      </c>
      <c r="C59" t="s">
        <v>165</v>
      </c>
      <c r="D59" s="1">
        <v>2</v>
      </c>
      <c r="E59" s="1" t="s">
        <v>119</v>
      </c>
      <c r="F59" s="1" t="s">
        <v>29</v>
      </c>
      <c r="G59" s="4">
        <v>3</v>
      </c>
    </row>
    <row r="60" spans="1:7" hidden="1" x14ac:dyDescent="0.2">
      <c r="A60" s="9">
        <v>59</v>
      </c>
      <c r="B60" t="s">
        <v>126</v>
      </c>
      <c r="C60" t="s">
        <v>127</v>
      </c>
      <c r="D60" s="1">
        <v>4</v>
      </c>
      <c r="E60" s="1" t="s">
        <v>18</v>
      </c>
      <c r="F60" s="1" t="s">
        <v>121</v>
      </c>
      <c r="G60" s="4">
        <v>4</v>
      </c>
    </row>
    <row r="61" spans="1:7" x14ac:dyDescent="0.2">
      <c r="A61" s="9">
        <v>60</v>
      </c>
      <c r="B61" t="s">
        <v>47</v>
      </c>
      <c r="C61" t="s">
        <v>48</v>
      </c>
      <c r="D61" s="1">
        <v>4</v>
      </c>
      <c r="E61" s="1" t="s">
        <v>11</v>
      </c>
      <c r="F61" s="1" t="s">
        <v>10</v>
      </c>
      <c r="G61" s="4">
        <v>3</v>
      </c>
    </row>
    <row r="62" spans="1:7" hidden="1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x14ac:dyDescent="0.2">
      <c r="A63" s="9">
        <v>62</v>
      </c>
      <c r="B63" t="s">
        <v>122</v>
      </c>
      <c r="C63" t="s">
        <v>123</v>
      </c>
      <c r="D63" s="1">
        <v>2</v>
      </c>
      <c r="E63" s="1" t="s">
        <v>11</v>
      </c>
      <c r="F63" s="1" t="s">
        <v>121</v>
      </c>
      <c r="G63" s="4">
        <v>3</v>
      </c>
    </row>
    <row r="64" spans="1:7" hidden="1" x14ac:dyDescent="0.2">
      <c r="A64" s="9">
        <v>63</v>
      </c>
      <c r="B64" s="8" t="s">
        <v>68</v>
      </c>
      <c r="C64" s="8" t="s">
        <v>158</v>
      </c>
      <c r="D64" s="1">
        <v>3</v>
      </c>
      <c r="E64" s="7" t="s">
        <v>31</v>
      </c>
      <c r="F64" s="7" t="s">
        <v>29</v>
      </c>
      <c r="G64" s="4">
        <v>3</v>
      </c>
    </row>
    <row r="65" spans="1:7" hidden="1" x14ac:dyDescent="0.2">
      <c r="A65" s="9">
        <v>64</v>
      </c>
      <c r="B65" t="s">
        <v>124</v>
      </c>
      <c r="C65" t="s">
        <v>125</v>
      </c>
      <c r="D65" s="1">
        <v>2</v>
      </c>
      <c r="E65" s="1" t="s">
        <v>7</v>
      </c>
      <c r="F65" s="1" t="s">
        <v>121</v>
      </c>
      <c r="G65" s="4">
        <v>3.3</v>
      </c>
    </row>
    <row r="66" spans="1:7" x14ac:dyDescent="0.2">
      <c r="A66" s="9">
        <v>65</v>
      </c>
      <c r="B66" t="s">
        <v>169</v>
      </c>
      <c r="C66" t="s">
        <v>168</v>
      </c>
      <c r="D66" s="1">
        <v>4</v>
      </c>
      <c r="E66" s="1" t="s">
        <v>11</v>
      </c>
      <c r="F66" s="1" t="s">
        <v>10</v>
      </c>
      <c r="G66" s="4">
        <v>4</v>
      </c>
    </row>
    <row r="67" spans="1:7" hidden="1" x14ac:dyDescent="0.2">
      <c r="A67" s="9">
        <v>66</v>
      </c>
      <c r="B67" t="s">
        <v>92</v>
      </c>
      <c r="C67" t="s">
        <v>93</v>
      </c>
      <c r="D67" s="1">
        <v>2</v>
      </c>
      <c r="E67" s="1" t="s">
        <v>18</v>
      </c>
      <c r="F67" s="1" t="s">
        <v>14</v>
      </c>
      <c r="G67" s="4">
        <v>1.5</v>
      </c>
    </row>
    <row r="68" spans="1:7" hidden="1" x14ac:dyDescent="0.2">
      <c r="A68" s="9">
        <v>67</v>
      </c>
      <c r="B68" t="s">
        <v>68</v>
      </c>
      <c r="C68" t="s">
        <v>69</v>
      </c>
      <c r="D68" s="1">
        <v>3</v>
      </c>
      <c r="E68" s="1" t="s">
        <v>31</v>
      </c>
      <c r="F68" s="1" t="s">
        <v>5</v>
      </c>
      <c r="G68" s="4">
        <v>2.8</v>
      </c>
    </row>
    <row r="69" spans="1:7" x14ac:dyDescent="0.2">
      <c r="A69" s="9">
        <v>68</v>
      </c>
      <c r="B69" t="s">
        <v>55</v>
      </c>
      <c r="C69" t="s">
        <v>56</v>
      </c>
      <c r="D69" s="1">
        <v>2</v>
      </c>
      <c r="E69" s="1" t="s">
        <v>3</v>
      </c>
      <c r="F69" s="1" t="s">
        <v>5</v>
      </c>
      <c r="G69" s="4">
        <v>4</v>
      </c>
    </row>
    <row r="70" spans="1:7" hidden="1" x14ac:dyDescent="0.2">
      <c r="A70" s="9">
        <v>69</v>
      </c>
      <c r="B70" t="s">
        <v>166</v>
      </c>
      <c r="C70" t="s">
        <v>167</v>
      </c>
      <c r="D70" s="1">
        <v>3</v>
      </c>
      <c r="E70" s="1" t="s">
        <v>119</v>
      </c>
      <c r="F70" s="1" t="s">
        <v>14</v>
      </c>
      <c r="G70" s="4">
        <v>3.5</v>
      </c>
    </row>
    <row r="71" spans="1:7" x14ac:dyDescent="0.2">
      <c r="A71" s="9">
        <v>70</v>
      </c>
      <c r="B71" t="s">
        <v>110</v>
      </c>
      <c r="C71" t="s">
        <v>111</v>
      </c>
      <c r="D71" s="1">
        <v>2</v>
      </c>
      <c r="E71" s="1" t="s">
        <v>3</v>
      </c>
      <c r="F71" s="1" t="s">
        <v>12</v>
      </c>
      <c r="G71" s="4">
        <v>4</v>
      </c>
    </row>
    <row r="72" spans="1:7" x14ac:dyDescent="0.2">
      <c r="A72" s="9"/>
    </row>
    <row r="73" spans="1:7" x14ac:dyDescent="0.2">
      <c r="A73" s="2" t="s">
        <v>135</v>
      </c>
      <c r="B73" s="2" t="s">
        <v>34</v>
      </c>
      <c r="C73" s="2" t="s">
        <v>35</v>
      </c>
      <c r="D73" s="2" t="s">
        <v>0</v>
      </c>
      <c r="E73" s="2" t="s">
        <v>1</v>
      </c>
      <c r="F73" s="2" t="s">
        <v>4</v>
      </c>
      <c r="G73" s="3" t="s">
        <v>170</v>
      </c>
    </row>
    <row r="74" spans="1:7" x14ac:dyDescent="0.2">
      <c r="A74"/>
      <c r="D74"/>
      <c r="E74" s="10" t="s">
        <v>11</v>
      </c>
      <c r="F74"/>
      <c r="G74"/>
    </row>
    <row r="75" spans="1:7" x14ac:dyDescent="0.2">
      <c r="A75"/>
      <c r="D75"/>
      <c r="E75" s="10" t="s">
        <v>3</v>
      </c>
      <c r="F75"/>
      <c r="G75"/>
    </row>
    <row r="76" spans="1:7" x14ac:dyDescent="0.2">
      <c r="A76"/>
      <c r="D76"/>
      <c r="E76"/>
      <c r="F76"/>
      <c r="G76"/>
    </row>
    <row r="77" spans="1:7" x14ac:dyDescent="0.2">
      <c r="A77"/>
      <c r="D77"/>
      <c r="E77"/>
      <c r="F77"/>
      <c r="G77"/>
    </row>
    <row r="78" spans="1:7" x14ac:dyDescent="0.2">
      <c r="A78"/>
      <c r="D78"/>
      <c r="E78"/>
      <c r="F78"/>
      <c r="G78"/>
    </row>
    <row r="79" spans="1:7" x14ac:dyDescent="0.2">
      <c r="A79"/>
      <c r="D79"/>
      <c r="E79"/>
      <c r="F79"/>
      <c r="G79"/>
    </row>
    <row r="80" spans="1:7" x14ac:dyDescent="0.2">
      <c r="A80"/>
      <c r="D80"/>
      <c r="E80"/>
      <c r="F80"/>
      <c r="G80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0066"/>
  </sheetPr>
  <dimension ref="A1:H80"/>
  <sheetViews>
    <sheetView zoomScaleNormal="100" workbookViewId="0">
      <pane ySplit="1" topLeftCell="A49" activePane="bottomLeft" state="frozen"/>
      <selection pane="bottomLeft" activeCell="G71" sqref="A1:G71"/>
    </sheetView>
  </sheetViews>
  <sheetFormatPr defaultRowHeight="12.75" x14ac:dyDescent="0.2"/>
  <cols>
    <col min="1" max="1" width="15.8554687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13.5703125" style="4" bestFit="1" customWidth="1"/>
    <col min="8" max="8" width="13.5703125" bestFit="1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128</v>
      </c>
    </row>
    <row r="2" spans="1:7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hidden="1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hidden="1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hidden="1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hidden="1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hidden="1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hidden="1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hidden="1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hidden="1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hidden="1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hidden="1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hidden="1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hidden="1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hidden="1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hidden="1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hidden="1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hidden="1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hidden="1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hidden="1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hidden="1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hidden="1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hidden="1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hidden="1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hidden="1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hidden="1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x14ac:dyDescent="0.2">
      <c r="A40" s="9">
        <v>39</v>
      </c>
      <c r="B40" t="s">
        <v>53</v>
      </c>
      <c r="C40" t="s">
        <v>54</v>
      </c>
      <c r="D40" s="1">
        <v>4</v>
      </c>
      <c r="E40" s="1" t="s">
        <v>33</v>
      </c>
      <c r="F40" s="1" t="s">
        <v>6</v>
      </c>
      <c r="G40" s="4">
        <v>3</v>
      </c>
    </row>
    <row r="41" spans="1:7" x14ac:dyDescent="0.2">
      <c r="A41" s="9">
        <v>40</v>
      </c>
      <c r="B41" t="s">
        <v>70</v>
      </c>
      <c r="C41" t="s">
        <v>71</v>
      </c>
      <c r="D41" s="1">
        <v>2</v>
      </c>
      <c r="E41" s="1" t="s">
        <v>25</v>
      </c>
      <c r="F41" s="1" t="s">
        <v>26</v>
      </c>
      <c r="G41" s="4">
        <v>3.5</v>
      </c>
    </row>
    <row r="42" spans="1:7" hidden="1" x14ac:dyDescent="0.2">
      <c r="A42" s="9">
        <v>41</v>
      </c>
      <c r="B42" t="s">
        <v>74</v>
      </c>
      <c r="C42" t="s">
        <v>75</v>
      </c>
      <c r="D42" s="1">
        <v>3</v>
      </c>
      <c r="E42" s="1" t="s">
        <v>30</v>
      </c>
      <c r="F42" s="1" t="s">
        <v>14</v>
      </c>
      <c r="G42" s="4">
        <v>2.5</v>
      </c>
    </row>
    <row r="43" spans="1:7" hidden="1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x14ac:dyDescent="0.2">
      <c r="A44" s="9">
        <v>43</v>
      </c>
      <c r="B44" t="s">
        <v>141</v>
      </c>
      <c r="C44" t="s">
        <v>161</v>
      </c>
      <c r="D44" s="1">
        <v>1</v>
      </c>
      <c r="E44" s="1" t="s">
        <v>140</v>
      </c>
      <c r="F44" s="1" t="s">
        <v>12</v>
      </c>
      <c r="G44" s="4">
        <v>3.7</v>
      </c>
    </row>
    <row r="45" spans="1:7" hidden="1" x14ac:dyDescent="0.2">
      <c r="A45" s="9">
        <v>44</v>
      </c>
      <c r="B45" s="8" t="s">
        <v>159</v>
      </c>
      <c r="C45" s="8" t="s">
        <v>160</v>
      </c>
      <c r="D45" s="1">
        <v>3</v>
      </c>
      <c r="E45" s="7" t="s">
        <v>119</v>
      </c>
      <c r="F45" s="7" t="s">
        <v>121</v>
      </c>
      <c r="G45" s="4">
        <v>4</v>
      </c>
    </row>
    <row r="46" spans="1:7" hidden="1" x14ac:dyDescent="0.2">
      <c r="A46" s="9">
        <v>45</v>
      </c>
      <c r="B46" s="8" t="s">
        <v>82</v>
      </c>
      <c r="C46" s="8" t="s">
        <v>157</v>
      </c>
      <c r="D46" s="1">
        <v>2</v>
      </c>
      <c r="E46" s="7" t="s">
        <v>32</v>
      </c>
      <c r="F46" s="7" t="s">
        <v>27</v>
      </c>
      <c r="G46" s="4">
        <v>2.5</v>
      </c>
    </row>
    <row r="47" spans="1:7" hidden="1" x14ac:dyDescent="0.2">
      <c r="A47" s="9">
        <v>46</v>
      </c>
      <c r="B47" t="s">
        <v>36</v>
      </c>
      <c r="C47" t="s">
        <v>37</v>
      </c>
      <c r="D47" s="1">
        <v>1</v>
      </c>
      <c r="E47" s="1" t="s">
        <v>7</v>
      </c>
      <c r="F47" s="1" t="s">
        <v>27</v>
      </c>
      <c r="G47" s="4">
        <v>1.2</v>
      </c>
    </row>
    <row r="48" spans="1:7" x14ac:dyDescent="0.2">
      <c r="A48" s="9">
        <v>47</v>
      </c>
      <c r="B48" t="s">
        <v>120</v>
      </c>
      <c r="C48" t="s">
        <v>62</v>
      </c>
      <c r="D48" s="1">
        <v>1</v>
      </c>
      <c r="E48" s="1" t="s">
        <v>15</v>
      </c>
      <c r="F48" s="1" t="s">
        <v>121</v>
      </c>
      <c r="G48" s="4">
        <v>3</v>
      </c>
    </row>
    <row r="49" spans="1:7" hidden="1" x14ac:dyDescent="0.2">
      <c r="A49" s="9">
        <v>48</v>
      </c>
      <c r="B49" t="s">
        <v>98</v>
      </c>
      <c r="C49" t="s">
        <v>99</v>
      </c>
      <c r="D49" s="1">
        <v>1</v>
      </c>
      <c r="E49" s="1" t="s">
        <v>9</v>
      </c>
      <c r="F49" s="1" t="s">
        <v>10</v>
      </c>
      <c r="G49" s="4">
        <v>1</v>
      </c>
    </row>
    <row r="50" spans="1:7" hidden="1" x14ac:dyDescent="0.2">
      <c r="A50" s="9">
        <v>49</v>
      </c>
      <c r="B50" t="s">
        <v>103</v>
      </c>
      <c r="C50" t="s">
        <v>104</v>
      </c>
      <c r="D50" s="1">
        <v>1</v>
      </c>
      <c r="E50" s="1" t="s">
        <v>11</v>
      </c>
      <c r="F50" s="1" t="s">
        <v>12</v>
      </c>
      <c r="G50" s="4">
        <v>0.25</v>
      </c>
    </row>
    <row r="51" spans="1:7" x14ac:dyDescent="0.2">
      <c r="A51" s="9">
        <v>50</v>
      </c>
      <c r="B51" t="s">
        <v>105</v>
      </c>
      <c r="C51" t="s">
        <v>106</v>
      </c>
      <c r="D51" s="1">
        <v>1</v>
      </c>
      <c r="E51" s="1" t="s">
        <v>11</v>
      </c>
      <c r="F51" s="1" t="s">
        <v>13</v>
      </c>
      <c r="G51" s="4">
        <v>3.8</v>
      </c>
    </row>
    <row r="52" spans="1:7" hidden="1" x14ac:dyDescent="0.2">
      <c r="A52" s="9">
        <v>51</v>
      </c>
      <c r="B52" t="s">
        <v>114</v>
      </c>
      <c r="C52" t="s">
        <v>115</v>
      </c>
      <c r="D52" s="1">
        <v>1</v>
      </c>
      <c r="E52" s="1" t="s">
        <v>11</v>
      </c>
      <c r="F52" s="1" t="s">
        <v>116</v>
      </c>
      <c r="G52" s="4">
        <v>4</v>
      </c>
    </row>
    <row r="53" spans="1:7" x14ac:dyDescent="0.2">
      <c r="A53" s="9">
        <v>52</v>
      </c>
      <c r="B53" s="5" t="s">
        <v>47</v>
      </c>
      <c r="C53" s="5" t="s">
        <v>129</v>
      </c>
      <c r="D53" s="1">
        <v>3</v>
      </c>
      <c r="E53" s="1" t="s">
        <v>11</v>
      </c>
      <c r="F53" s="6" t="s">
        <v>17</v>
      </c>
      <c r="G53" s="4">
        <v>3</v>
      </c>
    </row>
    <row r="54" spans="1:7" x14ac:dyDescent="0.2">
      <c r="A54" s="9">
        <v>53</v>
      </c>
      <c r="B54" t="s">
        <v>38</v>
      </c>
      <c r="C54" t="s">
        <v>39</v>
      </c>
      <c r="D54" s="1">
        <v>3</v>
      </c>
      <c r="E54" s="1" t="s">
        <v>7</v>
      </c>
      <c r="F54" s="1" t="s">
        <v>14</v>
      </c>
      <c r="G54" s="4">
        <v>3.3</v>
      </c>
    </row>
    <row r="55" spans="1:7" hidden="1" x14ac:dyDescent="0.2">
      <c r="A55" s="9">
        <v>54</v>
      </c>
      <c r="B55" t="s">
        <v>59</v>
      </c>
      <c r="C55" t="s">
        <v>60</v>
      </c>
      <c r="D55" s="1">
        <v>2</v>
      </c>
      <c r="E55" s="1" t="s">
        <v>18</v>
      </c>
      <c r="F55" s="1" t="s">
        <v>13</v>
      </c>
      <c r="G55" s="4">
        <v>1</v>
      </c>
    </row>
    <row r="56" spans="1:7" hidden="1" x14ac:dyDescent="0.2">
      <c r="A56" s="9">
        <v>55</v>
      </c>
      <c r="B56" t="s">
        <v>42</v>
      </c>
      <c r="C56" t="s">
        <v>43</v>
      </c>
      <c r="D56" s="1">
        <v>2</v>
      </c>
      <c r="E56" s="1" t="s">
        <v>11</v>
      </c>
      <c r="F56" s="1" t="s">
        <v>8</v>
      </c>
      <c r="G56" s="4">
        <v>2.2200000000000002</v>
      </c>
    </row>
    <row r="57" spans="1:7" x14ac:dyDescent="0.2">
      <c r="A57" s="9">
        <v>56</v>
      </c>
      <c r="B57" t="s">
        <v>65</v>
      </c>
      <c r="C57" t="s">
        <v>67</v>
      </c>
      <c r="D57" s="1">
        <v>4</v>
      </c>
      <c r="E57" s="1" t="s">
        <v>15</v>
      </c>
      <c r="F57" s="1" t="s">
        <v>16</v>
      </c>
      <c r="G57" s="4">
        <v>3.51</v>
      </c>
    </row>
    <row r="58" spans="1:7" x14ac:dyDescent="0.2">
      <c r="A58" s="9">
        <v>57</v>
      </c>
      <c r="B58" t="s">
        <v>98</v>
      </c>
      <c r="C58" t="s">
        <v>113</v>
      </c>
      <c r="D58" s="1">
        <v>2</v>
      </c>
      <c r="E58" s="1" t="s">
        <v>9</v>
      </c>
      <c r="F58" s="1" t="s">
        <v>28</v>
      </c>
      <c r="G58" s="4">
        <v>3.5</v>
      </c>
    </row>
    <row r="59" spans="1:7" x14ac:dyDescent="0.2">
      <c r="A59" s="9">
        <v>58</v>
      </c>
      <c r="B59" t="s">
        <v>164</v>
      </c>
      <c r="C59" t="s">
        <v>165</v>
      </c>
      <c r="D59" s="1">
        <v>2</v>
      </c>
      <c r="E59" s="1" t="s">
        <v>119</v>
      </c>
      <c r="F59" s="1" t="s">
        <v>29</v>
      </c>
      <c r="G59" s="4">
        <v>3</v>
      </c>
    </row>
    <row r="60" spans="1:7" hidden="1" x14ac:dyDescent="0.2">
      <c r="A60" s="9">
        <v>59</v>
      </c>
      <c r="B60" t="s">
        <v>126</v>
      </c>
      <c r="C60" t="s">
        <v>127</v>
      </c>
      <c r="D60" s="1">
        <v>4</v>
      </c>
      <c r="E60" s="1" t="s">
        <v>18</v>
      </c>
      <c r="F60" s="1" t="s">
        <v>121</v>
      </c>
      <c r="G60" s="4">
        <v>4</v>
      </c>
    </row>
    <row r="61" spans="1:7" x14ac:dyDescent="0.2">
      <c r="A61" s="9">
        <v>60</v>
      </c>
      <c r="B61" t="s">
        <v>47</v>
      </c>
      <c r="C61" t="s">
        <v>48</v>
      </c>
      <c r="D61" s="1">
        <v>4</v>
      </c>
      <c r="E61" s="1" t="s">
        <v>11</v>
      </c>
      <c r="F61" s="1" t="s">
        <v>10</v>
      </c>
      <c r="G61" s="4">
        <v>3</v>
      </c>
    </row>
    <row r="62" spans="1:7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x14ac:dyDescent="0.2">
      <c r="A63" s="9">
        <v>62</v>
      </c>
      <c r="B63" t="s">
        <v>122</v>
      </c>
      <c r="C63" t="s">
        <v>123</v>
      </c>
      <c r="D63" s="1">
        <v>2</v>
      </c>
      <c r="E63" s="1" t="s">
        <v>11</v>
      </c>
      <c r="F63" s="1" t="s">
        <v>121</v>
      </c>
      <c r="G63" s="4">
        <v>3</v>
      </c>
    </row>
    <row r="64" spans="1:7" x14ac:dyDescent="0.2">
      <c r="A64" s="9">
        <v>63</v>
      </c>
      <c r="B64" s="8" t="s">
        <v>68</v>
      </c>
      <c r="C64" s="8" t="s">
        <v>158</v>
      </c>
      <c r="D64" s="1">
        <v>3</v>
      </c>
      <c r="E64" s="7" t="s">
        <v>31</v>
      </c>
      <c r="F64" s="7" t="s">
        <v>29</v>
      </c>
      <c r="G64" s="4">
        <v>3</v>
      </c>
    </row>
    <row r="65" spans="1:8" x14ac:dyDescent="0.2">
      <c r="A65" s="9">
        <v>64</v>
      </c>
      <c r="B65" t="s">
        <v>124</v>
      </c>
      <c r="C65" t="s">
        <v>125</v>
      </c>
      <c r="D65" s="1">
        <v>2</v>
      </c>
      <c r="E65" s="1" t="s">
        <v>7</v>
      </c>
      <c r="F65" s="1" t="s">
        <v>121</v>
      </c>
      <c r="G65" s="4">
        <v>3.3</v>
      </c>
    </row>
    <row r="66" spans="1:8" hidden="1" x14ac:dyDescent="0.2">
      <c r="A66" s="9">
        <v>65</v>
      </c>
      <c r="B66" t="s">
        <v>169</v>
      </c>
      <c r="C66" t="s">
        <v>168</v>
      </c>
      <c r="D66" s="1">
        <v>4</v>
      </c>
      <c r="E66" s="1" t="s">
        <v>11</v>
      </c>
      <c r="F66" s="1" t="s">
        <v>10</v>
      </c>
      <c r="G66" s="4">
        <v>4</v>
      </c>
    </row>
    <row r="67" spans="1:8" hidden="1" x14ac:dyDescent="0.2">
      <c r="A67" s="9">
        <v>66</v>
      </c>
      <c r="B67" t="s">
        <v>92</v>
      </c>
      <c r="C67" t="s">
        <v>93</v>
      </c>
      <c r="D67" s="1">
        <v>2</v>
      </c>
      <c r="E67" s="1" t="s">
        <v>18</v>
      </c>
      <c r="F67" s="1" t="s">
        <v>14</v>
      </c>
      <c r="G67" s="4">
        <v>1.5</v>
      </c>
    </row>
    <row r="68" spans="1:8" hidden="1" x14ac:dyDescent="0.2">
      <c r="A68" s="9">
        <v>67</v>
      </c>
      <c r="B68" t="s">
        <v>68</v>
      </c>
      <c r="C68" t="s">
        <v>69</v>
      </c>
      <c r="D68" s="1">
        <v>3</v>
      </c>
      <c r="E68" s="1" t="s">
        <v>31</v>
      </c>
      <c r="F68" s="1" t="s">
        <v>5</v>
      </c>
      <c r="G68" s="4">
        <v>2.8</v>
      </c>
    </row>
    <row r="69" spans="1:8" hidden="1" x14ac:dyDescent="0.2">
      <c r="A69" s="9">
        <v>68</v>
      </c>
      <c r="B69" t="s">
        <v>55</v>
      </c>
      <c r="C69" t="s">
        <v>56</v>
      </c>
      <c r="D69" s="1">
        <v>2</v>
      </c>
      <c r="E69" s="1" t="s">
        <v>3</v>
      </c>
      <c r="F69" s="1" t="s">
        <v>5</v>
      </c>
      <c r="G69" s="4">
        <v>4</v>
      </c>
    </row>
    <row r="70" spans="1:8" x14ac:dyDescent="0.2">
      <c r="A70" s="9">
        <v>69</v>
      </c>
      <c r="B70" t="s">
        <v>166</v>
      </c>
      <c r="C70" t="s">
        <v>167</v>
      </c>
      <c r="D70" s="1">
        <v>3</v>
      </c>
      <c r="E70" s="1" t="s">
        <v>119</v>
      </c>
      <c r="F70" s="1" t="s">
        <v>14</v>
      </c>
      <c r="G70" s="4">
        <v>3.5</v>
      </c>
    </row>
    <row r="71" spans="1:8" x14ac:dyDescent="0.2">
      <c r="A71" s="9">
        <v>70</v>
      </c>
      <c r="B71" t="s">
        <v>171</v>
      </c>
      <c r="C71" t="s">
        <v>172</v>
      </c>
      <c r="D71" s="1">
        <v>4</v>
      </c>
      <c r="E71" s="1" t="s">
        <v>11</v>
      </c>
      <c r="F71" s="1" t="s">
        <v>173</v>
      </c>
      <c r="G71" s="4">
        <v>3.34</v>
      </c>
    </row>
    <row r="72" spans="1:8" x14ac:dyDescent="0.2">
      <c r="A72" s="9"/>
    </row>
    <row r="73" spans="1:8" x14ac:dyDescent="0.2">
      <c r="A73" s="2" t="s">
        <v>135</v>
      </c>
      <c r="B73" s="2" t="s">
        <v>34</v>
      </c>
      <c r="C73" s="2" t="s">
        <v>35</v>
      </c>
      <c r="D73" s="2" t="s">
        <v>0</v>
      </c>
      <c r="E73" s="2" t="s">
        <v>1</v>
      </c>
      <c r="F73" s="2" t="s">
        <v>4</v>
      </c>
      <c r="G73" s="3" t="s">
        <v>128</v>
      </c>
      <c r="H73" s="3" t="s">
        <v>128</v>
      </c>
    </row>
    <row r="74" spans="1:8" x14ac:dyDescent="0.2">
      <c r="A74"/>
      <c r="D74"/>
      <c r="E74"/>
      <c r="F74"/>
      <c r="G74" t="s">
        <v>174</v>
      </c>
      <c r="H74" t="s">
        <v>175</v>
      </c>
    </row>
    <row r="75" spans="1:8" x14ac:dyDescent="0.2">
      <c r="A75"/>
      <c r="D75"/>
      <c r="E75"/>
      <c r="F75"/>
      <c r="G75"/>
    </row>
    <row r="76" spans="1:8" x14ac:dyDescent="0.2">
      <c r="A76"/>
      <c r="D76"/>
      <c r="E76"/>
      <c r="F76"/>
      <c r="G76"/>
    </row>
    <row r="77" spans="1:8" x14ac:dyDescent="0.2">
      <c r="A77"/>
      <c r="D77"/>
      <c r="E77"/>
      <c r="F77"/>
      <c r="G77"/>
    </row>
    <row r="78" spans="1:8" x14ac:dyDescent="0.2">
      <c r="A78"/>
      <c r="D78"/>
      <c r="E78"/>
      <c r="F78"/>
      <c r="G78"/>
    </row>
    <row r="79" spans="1:8" x14ac:dyDescent="0.2">
      <c r="A79"/>
      <c r="D79"/>
      <c r="E79"/>
      <c r="F79"/>
      <c r="G79"/>
    </row>
    <row r="80" spans="1:8" x14ac:dyDescent="0.2">
      <c r="A80"/>
      <c r="D80"/>
      <c r="E80"/>
      <c r="F80"/>
      <c r="G80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66"/>
  </sheetPr>
  <dimension ref="A1:G88"/>
  <sheetViews>
    <sheetView tabSelected="1" zoomScaleNormal="100" workbookViewId="0">
      <pane ySplit="1" topLeftCell="A58" activePane="bottomLeft" state="frozen"/>
      <selection pane="bottomLeft" activeCell="C89" sqref="C89"/>
    </sheetView>
  </sheetViews>
  <sheetFormatPr defaultRowHeight="12.75" x14ac:dyDescent="0.2"/>
  <cols>
    <col min="1" max="1" width="17.5703125" style="1" bestFit="1" customWidth="1"/>
    <col min="2" max="3" width="16.140625" customWidth="1"/>
    <col min="4" max="4" width="12" style="1" customWidth="1"/>
    <col min="5" max="5" width="17.140625" style="1" customWidth="1"/>
    <col min="6" max="6" width="24.7109375" style="1" bestFit="1" customWidth="1"/>
    <col min="7" max="7" width="15.140625" style="4" customWidth="1"/>
  </cols>
  <sheetData>
    <row r="1" spans="1:7" x14ac:dyDescent="0.2">
      <c r="A1" s="2" t="s">
        <v>135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3" t="s">
        <v>170</v>
      </c>
    </row>
    <row r="2" spans="1:7" x14ac:dyDescent="0.2">
      <c r="A2" s="9">
        <v>1</v>
      </c>
      <c r="B2" t="s">
        <v>94</v>
      </c>
      <c r="C2" t="s">
        <v>95</v>
      </c>
      <c r="D2" s="1">
        <v>4</v>
      </c>
      <c r="E2" s="1" t="s">
        <v>21</v>
      </c>
      <c r="F2" s="1" t="s">
        <v>22</v>
      </c>
      <c r="G2" s="4">
        <v>3.9</v>
      </c>
    </row>
    <row r="3" spans="1:7" x14ac:dyDescent="0.2">
      <c r="A3" s="9">
        <v>2</v>
      </c>
      <c r="B3" t="s">
        <v>105</v>
      </c>
      <c r="C3" t="s">
        <v>107</v>
      </c>
      <c r="D3" s="1">
        <v>4</v>
      </c>
      <c r="E3" s="1" t="s">
        <v>11</v>
      </c>
      <c r="F3" s="1" t="s">
        <v>16</v>
      </c>
      <c r="G3" s="4">
        <v>2.8</v>
      </c>
    </row>
    <row r="4" spans="1:7" x14ac:dyDescent="0.2">
      <c r="A4" s="9">
        <v>3</v>
      </c>
      <c r="B4" t="s">
        <v>49</v>
      </c>
      <c r="C4" t="s">
        <v>50</v>
      </c>
      <c r="D4" s="1">
        <v>4</v>
      </c>
      <c r="E4" s="1" t="s">
        <v>3</v>
      </c>
      <c r="F4" s="1" t="s">
        <v>10</v>
      </c>
      <c r="G4" s="4">
        <v>4</v>
      </c>
    </row>
    <row r="5" spans="1:7" x14ac:dyDescent="0.2">
      <c r="A5" s="9">
        <v>4</v>
      </c>
      <c r="B5" t="s">
        <v>51</v>
      </c>
      <c r="C5" t="s">
        <v>52</v>
      </c>
      <c r="D5" s="1">
        <v>4</v>
      </c>
      <c r="E5" s="1" t="s">
        <v>19</v>
      </c>
      <c r="F5" s="1" t="s">
        <v>22</v>
      </c>
      <c r="G5" s="4">
        <v>1</v>
      </c>
    </row>
    <row r="6" spans="1:7" x14ac:dyDescent="0.2">
      <c r="A6" s="9">
        <v>5</v>
      </c>
      <c r="B6" t="s">
        <v>64</v>
      </c>
      <c r="C6" t="s">
        <v>54</v>
      </c>
      <c r="D6" s="1">
        <v>2</v>
      </c>
      <c r="E6" s="1" t="s">
        <v>7</v>
      </c>
      <c r="F6" s="1" t="s">
        <v>10</v>
      </c>
      <c r="G6" s="4">
        <v>2.0099999999999998</v>
      </c>
    </row>
    <row r="7" spans="1:7" x14ac:dyDescent="0.2">
      <c r="A7" s="9">
        <v>6</v>
      </c>
      <c r="B7" t="s">
        <v>57</v>
      </c>
      <c r="C7" t="s">
        <v>58</v>
      </c>
      <c r="D7" s="1">
        <v>4</v>
      </c>
      <c r="E7" s="1" t="s">
        <v>18</v>
      </c>
      <c r="F7" s="1" t="s">
        <v>17</v>
      </c>
      <c r="G7" s="4">
        <v>3.99</v>
      </c>
    </row>
    <row r="8" spans="1:7" x14ac:dyDescent="0.2">
      <c r="A8" s="9">
        <v>7</v>
      </c>
      <c r="B8" t="s">
        <v>61</v>
      </c>
      <c r="C8" t="s">
        <v>62</v>
      </c>
      <c r="D8" s="1">
        <v>4</v>
      </c>
      <c r="E8" s="1" t="s">
        <v>2</v>
      </c>
      <c r="F8" s="1" t="s">
        <v>6</v>
      </c>
      <c r="G8" s="4">
        <v>3</v>
      </c>
    </row>
    <row r="9" spans="1:7" x14ac:dyDescent="0.2">
      <c r="A9" s="9">
        <v>8</v>
      </c>
      <c r="B9" t="s">
        <v>65</v>
      </c>
      <c r="C9" t="s">
        <v>66</v>
      </c>
      <c r="D9" s="1">
        <v>4</v>
      </c>
      <c r="E9" s="1" t="s">
        <v>15</v>
      </c>
      <c r="F9" s="1" t="s">
        <v>16</v>
      </c>
      <c r="G9" s="4">
        <v>3.52</v>
      </c>
    </row>
    <row r="10" spans="1:7" x14ac:dyDescent="0.2">
      <c r="A10" s="9">
        <v>9</v>
      </c>
      <c r="B10" s="8" t="s">
        <v>142</v>
      </c>
      <c r="C10" s="8" t="s">
        <v>143</v>
      </c>
      <c r="D10" s="1">
        <v>1</v>
      </c>
      <c r="E10" s="7" t="s">
        <v>11</v>
      </c>
      <c r="F10" s="7" t="s">
        <v>121</v>
      </c>
      <c r="G10" s="4">
        <v>4</v>
      </c>
    </row>
    <row r="11" spans="1:7" x14ac:dyDescent="0.2">
      <c r="A11" s="9">
        <v>10</v>
      </c>
      <c r="B11" s="8" t="s">
        <v>149</v>
      </c>
      <c r="C11" s="8" t="s">
        <v>150</v>
      </c>
      <c r="D11" s="1">
        <v>1</v>
      </c>
      <c r="E11" s="7" t="s">
        <v>18</v>
      </c>
      <c r="F11" s="7" t="s">
        <v>16</v>
      </c>
      <c r="G11" s="4">
        <v>4</v>
      </c>
    </row>
    <row r="12" spans="1:7" x14ac:dyDescent="0.2">
      <c r="A12" s="9">
        <v>11</v>
      </c>
      <c r="B12" t="s">
        <v>78</v>
      </c>
      <c r="C12" t="s">
        <v>79</v>
      </c>
      <c r="D12" s="1">
        <v>4</v>
      </c>
      <c r="E12" s="1" t="s">
        <v>11</v>
      </c>
      <c r="F12" s="1" t="s">
        <v>14</v>
      </c>
      <c r="G12" s="4">
        <v>4</v>
      </c>
    </row>
    <row r="13" spans="1:7" x14ac:dyDescent="0.2">
      <c r="A13" s="9">
        <v>12</v>
      </c>
      <c r="B13" t="s">
        <v>82</v>
      </c>
      <c r="C13" t="s">
        <v>83</v>
      </c>
      <c r="D13" s="1">
        <v>4</v>
      </c>
      <c r="E13" s="1" t="s">
        <v>32</v>
      </c>
      <c r="F13" s="1" t="s">
        <v>5</v>
      </c>
      <c r="G13" s="4">
        <v>2.9</v>
      </c>
    </row>
    <row r="14" spans="1:7" x14ac:dyDescent="0.2">
      <c r="A14" s="9">
        <v>13</v>
      </c>
      <c r="B14" t="s">
        <v>88</v>
      </c>
      <c r="C14" t="s">
        <v>89</v>
      </c>
      <c r="D14" s="1">
        <v>4</v>
      </c>
      <c r="E14" s="1" t="s">
        <v>24</v>
      </c>
      <c r="F14" s="1" t="s">
        <v>5</v>
      </c>
      <c r="G14" s="4">
        <v>3.2</v>
      </c>
    </row>
    <row r="15" spans="1:7" x14ac:dyDescent="0.2">
      <c r="A15" s="9">
        <v>14</v>
      </c>
      <c r="B15" t="s">
        <v>108</v>
      </c>
      <c r="C15" t="s">
        <v>109</v>
      </c>
      <c r="D15" s="1">
        <v>4</v>
      </c>
      <c r="E15" s="1" t="s">
        <v>3</v>
      </c>
      <c r="F15" s="1" t="s">
        <v>6</v>
      </c>
      <c r="G15" s="4">
        <v>3</v>
      </c>
    </row>
    <row r="16" spans="1:7" x14ac:dyDescent="0.2">
      <c r="A16" s="9">
        <v>15</v>
      </c>
      <c r="B16" t="s">
        <v>40</v>
      </c>
      <c r="C16" t="s">
        <v>41</v>
      </c>
      <c r="D16" s="1">
        <v>4</v>
      </c>
      <c r="E16" s="1" t="s">
        <v>11</v>
      </c>
      <c r="F16" s="1" t="s">
        <v>29</v>
      </c>
      <c r="G16" s="4">
        <v>4</v>
      </c>
    </row>
    <row r="17" spans="1:7" x14ac:dyDescent="0.2">
      <c r="A17" s="9">
        <v>16</v>
      </c>
      <c r="B17" s="8" t="s">
        <v>132</v>
      </c>
      <c r="C17" s="8" t="s">
        <v>133</v>
      </c>
      <c r="D17" s="1">
        <v>1</v>
      </c>
      <c r="E17" s="7" t="s">
        <v>3</v>
      </c>
      <c r="F17" s="7" t="s">
        <v>134</v>
      </c>
      <c r="G17" s="4">
        <v>4</v>
      </c>
    </row>
    <row r="18" spans="1:7" x14ac:dyDescent="0.2">
      <c r="A18" s="9">
        <v>17</v>
      </c>
      <c r="B18" t="s">
        <v>98</v>
      </c>
      <c r="C18" t="s">
        <v>101</v>
      </c>
      <c r="D18" s="1">
        <v>4</v>
      </c>
      <c r="E18" s="1" t="s">
        <v>9</v>
      </c>
      <c r="F18" s="1" t="s">
        <v>8</v>
      </c>
      <c r="G18" s="4">
        <v>4</v>
      </c>
    </row>
    <row r="19" spans="1:7" x14ac:dyDescent="0.2">
      <c r="A19" s="9">
        <v>18</v>
      </c>
      <c r="B19" t="s">
        <v>117</v>
      </c>
      <c r="C19" t="s">
        <v>118</v>
      </c>
      <c r="D19" s="1">
        <v>4</v>
      </c>
      <c r="E19" s="1" t="s">
        <v>119</v>
      </c>
      <c r="F19" s="1" t="s">
        <v>116</v>
      </c>
      <c r="G19" s="4">
        <v>3.5</v>
      </c>
    </row>
    <row r="20" spans="1:7" x14ac:dyDescent="0.2">
      <c r="A20" s="9">
        <v>19</v>
      </c>
      <c r="B20" s="8" t="s">
        <v>152</v>
      </c>
      <c r="C20" s="8" t="s">
        <v>151</v>
      </c>
      <c r="D20" s="1">
        <v>3</v>
      </c>
      <c r="E20" s="7" t="s">
        <v>119</v>
      </c>
      <c r="F20" s="7" t="s">
        <v>116</v>
      </c>
      <c r="G20" s="4">
        <v>3</v>
      </c>
    </row>
    <row r="21" spans="1:7" x14ac:dyDescent="0.2">
      <c r="A21" s="9">
        <v>20</v>
      </c>
      <c r="B21" s="8" t="s">
        <v>136</v>
      </c>
      <c r="C21" s="8" t="s">
        <v>137</v>
      </c>
      <c r="D21" s="1">
        <v>1</v>
      </c>
      <c r="E21" s="7" t="s">
        <v>11</v>
      </c>
      <c r="F21" s="7" t="s">
        <v>116</v>
      </c>
      <c r="G21" s="4">
        <v>2.5</v>
      </c>
    </row>
    <row r="22" spans="1:7" x14ac:dyDescent="0.2">
      <c r="A22" s="9">
        <v>21</v>
      </c>
      <c r="B22" t="s">
        <v>162</v>
      </c>
      <c r="C22" t="s">
        <v>163</v>
      </c>
      <c r="D22" s="1">
        <v>1</v>
      </c>
      <c r="E22" s="1" t="s">
        <v>140</v>
      </c>
      <c r="F22" s="1" t="s">
        <v>116</v>
      </c>
      <c r="G22" s="4">
        <v>3</v>
      </c>
    </row>
    <row r="23" spans="1:7" x14ac:dyDescent="0.2">
      <c r="A23" s="9">
        <v>22</v>
      </c>
      <c r="B23" t="s">
        <v>72</v>
      </c>
      <c r="C23" t="s">
        <v>73</v>
      </c>
      <c r="D23" s="1">
        <v>3</v>
      </c>
      <c r="E23" s="1" t="s">
        <v>18</v>
      </c>
      <c r="F23" s="1" t="s">
        <v>14</v>
      </c>
      <c r="G23" s="4">
        <v>3.98</v>
      </c>
    </row>
    <row r="24" spans="1:7" x14ac:dyDescent="0.2">
      <c r="A24" s="9">
        <v>23</v>
      </c>
      <c r="B24" s="8" t="s">
        <v>155</v>
      </c>
      <c r="C24" s="8" t="s">
        <v>156</v>
      </c>
      <c r="D24" s="1">
        <v>1</v>
      </c>
      <c r="E24" s="7" t="s">
        <v>3</v>
      </c>
      <c r="F24" s="7" t="s">
        <v>12</v>
      </c>
      <c r="G24" s="4">
        <v>4</v>
      </c>
    </row>
    <row r="25" spans="1:7" x14ac:dyDescent="0.2">
      <c r="A25" s="9">
        <v>24</v>
      </c>
      <c r="B25" s="8" t="s">
        <v>130</v>
      </c>
      <c r="C25" s="8" t="s">
        <v>131</v>
      </c>
      <c r="D25" s="1">
        <v>1</v>
      </c>
      <c r="E25" s="7" t="s">
        <v>30</v>
      </c>
      <c r="F25" s="7" t="s">
        <v>12</v>
      </c>
      <c r="G25" s="4">
        <v>4</v>
      </c>
    </row>
    <row r="26" spans="1:7" x14ac:dyDescent="0.2">
      <c r="A26" s="9">
        <v>25</v>
      </c>
      <c r="B26" t="s">
        <v>76</v>
      </c>
      <c r="C26" t="s">
        <v>77</v>
      </c>
      <c r="D26" s="1">
        <v>3</v>
      </c>
      <c r="E26" s="1" t="s">
        <v>11</v>
      </c>
      <c r="F26" s="1" t="s">
        <v>22</v>
      </c>
      <c r="G26" s="4">
        <v>3.8</v>
      </c>
    </row>
    <row r="27" spans="1:7" x14ac:dyDescent="0.2">
      <c r="A27" s="9">
        <v>26</v>
      </c>
      <c r="B27" t="s">
        <v>84</v>
      </c>
      <c r="C27" t="s">
        <v>85</v>
      </c>
      <c r="D27" s="1">
        <v>3</v>
      </c>
      <c r="E27" s="1" t="s">
        <v>18</v>
      </c>
      <c r="F27" s="1" t="s">
        <v>12</v>
      </c>
      <c r="G27" s="4">
        <v>2.2000000000000002</v>
      </c>
    </row>
    <row r="28" spans="1:7" x14ac:dyDescent="0.2">
      <c r="A28" s="9">
        <v>27</v>
      </c>
      <c r="B28" t="s">
        <v>86</v>
      </c>
      <c r="C28" t="s">
        <v>87</v>
      </c>
      <c r="D28" s="1">
        <v>3</v>
      </c>
      <c r="E28" s="1" t="s">
        <v>15</v>
      </c>
      <c r="F28" s="1" t="s">
        <v>17</v>
      </c>
      <c r="G28" s="4">
        <v>3</v>
      </c>
    </row>
    <row r="29" spans="1:7" x14ac:dyDescent="0.2">
      <c r="A29" s="9">
        <v>28</v>
      </c>
      <c r="B29" t="s">
        <v>90</v>
      </c>
      <c r="C29" t="s">
        <v>91</v>
      </c>
      <c r="D29" s="1">
        <v>3</v>
      </c>
      <c r="E29" s="1" t="s">
        <v>23</v>
      </c>
      <c r="F29" s="1" t="s">
        <v>20</v>
      </c>
      <c r="G29" s="4">
        <v>2.2000000000000002</v>
      </c>
    </row>
    <row r="30" spans="1:7" x14ac:dyDescent="0.2">
      <c r="A30" s="9">
        <v>29</v>
      </c>
      <c r="B30" t="s">
        <v>96</v>
      </c>
      <c r="C30" t="s">
        <v>97</v>
      </c>
      <c r="D30" s="1">
        <v>3</v>
      </c>
      <c r="E30" s="1" t="s">
        <v>7</v>
      </c>
      <c r="F30" s="1" t="s">
        <v>8</v>
      </c>
      <c r="G30" s="4">
        <v>2.8</v>
      </c>
    </row>
    <row r="31" spans="1:7" x14ac:dyDescent="0.2">
      <c r="A31" s="9">
        <v>30</v>
      </c>
      <c r="B31" t="s">
        <v>98</v>
      </c>
      <c r="C31" t="s">
        <v>100</v>
      </c>
      <c r="D31" s="1">
        <v>3</v>
      </c>
      <c r="E31" s="1" t="s">
        <v>9</v>
      </c>
      <c r="F31" s="1" t="s">
        <v>12</v>
      </c>
      <c r="G31" s="4">
        <v>1.3</v>
      </c>
    </row>
    <row r="32" spans="1:7" x14ac:dyDescent="0.2">
      <c r="A32" s="9">
        <v>31</v>
      </c>
      <c r="B32" s="8" t="s">
        <v>144</v>
      </c>
      <c r="C32" s="8" t="s">
        <v>145</v>
      </c>
      <c r="D32" s="1">
        <v>4</v>
      </c>
      <c r="E32" s="7" t="s">
        <v>7</v>
      </c>
      <c r="F32" s="7" t="s">
        <v>121</v>
      </c>
      <c r="G32" s="4">
        <v>4</v>
      </c>
    </row>
    <row r="33" spans="1:7" x14ac:dyDescent="0.2">
      <c r="A33" s="9">
        <v>32</v>
      </c>
      <c r="B33" t="s">
        <v>98</v>
      </c>
      <c r="C33" t="s">
        <v>102</v>
      </c>
      <c r="D33" s="1">
        <v>3</v>
      </c>
      <c r="E33" s="1" t="s">
        <v>9</v>
      </c>
      <c r="F33" s="1" t="s">
        <v>26</v>
      </c>
      <c r="G33" s="4">
        <v>3.3</v>
      </c>
    </row>
    <row r="34" spans="1:7" x14ac:dyDescent="0.2">
      <c r="A34" s="9">
        <v>33</v>
      </c>
      <c r="B34" s="8" t="s">
        <v>141</v>
      </c>
      <c r="C34" s="8" t="s">
        <v>73</v>
      </c>
      <c r="D34" s="1">
        <v>4</v>
      </c>
      <c r="E34" s="7" t="s">
        <v>140</v>
      </c>
      <c r="F34" s="7" t="s">
        <v>12</v>
      </c>
      <c r="G34" s="4">
        <v>3.5</v>
      </c>
    </row>
    <row r="35" spans="1:7" x14ac:dyDescent="0.2">
      <c r="A35" s="9">
        <v>34</v>
      </c>
      <c r="B35" t="s">
        <v>42</v>
      </c>
      <c r="C35" t="s">
        <v>44</v>
      </c>
      <c r="D35" s="1">
        <v>2</v>
      </c>
      <c r="E35" s="1" t="s">
        <v>11</v>
      </c>
      <c r="F35" s="1" t="s">
        <v>8</v>
      </c>
      <c r="G35" s="4">
        <v>2.2200000000000002</v>
      </c>
    </row>
    <row r="36" spans="1:7" x14ac:dyDescent="0.2">
      <c r="A36" s="9">
        <v>35</v>
      </c>
      <c r="B36" t="s">
        <v>45</v>
      </c>
      <c r="C36" t="s">
        <v>46</v>
      </c>
      <c r="D36" s="1">
        <v>2</v>
      </c>
      <c r="E36" s="1" t="s">
        <v>19</v>
      </c>
      <c r="F36" s="1" t="s">
        <v>20</v>
      </c>
      <c r="G36" s="4">
        <v>2.2000000000000002</v>
      </c>
    </row>
    <row r="37" spans="1:7" x14ac:dyDescent="0.2">
      <c r="A37" s="9">
        <v>36</v>
      </c>
      <c r="B37" s="8" t="s">
        <v>146</v>
      </c>
      <c r="C37" s="8" t="s">
        <v>147</v>
      </c>
      <c r="D37" s="1">
        <v>1</v>
      </c>
      <c r="E37" s="7" t="s">
        <v>148</v>
      </c>
      <c r="F37" s="7" t="s">
        <v>121</v>
      </c>
      <c r="G37" s="4">
        <v>4</v>
      </c>
    </row>
    <row r="38" spans="1:7" x14ac:dyDescent="0.2">
      <c r="A38" s="9">
        <v>37</v>
      </c>
      <c r="B38" s="8" t="s">
        <v>138</v>
      </c>
      <c r="C38" s="8" t="s">
        <v>139</v>
      </c>
      <c r="D38" s="1">
        <v>1</v>
      </c>
      <c r="E38" s="7" t="s">
        <v>140</v>
      </c>
      <c r="F38" s="7" t="s">
        <v>116</v>
      </c>
      <c r="G38" s="4">
        <v>4</v>
      </c>
    </row>
    <row r="39" spans="1:7" x14ac:dyDescent="0.2">
      <c r="A39" s="9">
        <v>38</v>
      </c>
      <c r="B39" t="s">
        <v>63</v>
      </c>
      <c r="C39" t="s">
        <v>112</v>
      </c>
      <c r="D39" s="1">
        <v>2</v>
      </c>
      <c r="E39" s="1" t="s">
        <v>11</v>
      </c>
      <c r="F39" s="1" t="s">
        <v>29</v>
      </c>
      <c r="G39" s="4">
        <v>1.9</v>
      </c>
    </row>
    <row r="40" spans="1:7" x14ac:dyDescent="0.2">
      <c r="A40" s="9">
        <v>39</v>
      </c>
      <c r="B40" t="s">
        <v>53</v>
      </c>
      <c r="C40" t="s">
        <v>54</v>
      </c>
      <c r="D40" s="1">
        <v>4</v>
      </c>
      <c r="E40" s="1" t="s">
        <v>33</v>
      </c>
      <c r="F40" s="1" t="s">
        <v>6</v>
      </c>
      <c r="G40" s="4">
        <v>3</v>
      </c>
    </row>
    <row r="41" spans="1:7" x14ac:dyDescent="0.2">
      <c r="A41" s="9">
        <v>40</v>
      </c>
      <c r="B41" t="s">
        <v>70</v>
      </c>
      <c r="C41" t="s">
        <v>71</v>
      </c>
      <c r="D41" s="1">
        <v>2</v>
      </c>
      <c r="E41" s="1" t="s">
        <v>25</v>
      </c>
      <c r="F41" s="1" t="s">
        <v>26</v>
      </c>
      <c r="G41" s="4">
        <v>3.5</v>
      </c>
    </row>
    <row r="42" spans="1:7" x14ac:dyDescent="0.2">
      <c r="A42" s="9">
        <v>41</v>
      </c>
      <c r="B42" t="s">
        <v>74</v>
      </c>
      <c r="C42" t="s">
        <v>75</v>
      </c>
      <c r="D42" s="1">
        <v>3</v>
      </c>
      <c r="E42" s="1" t="s">
        <v>30</v>
      </c>
      <c r="F42" s="1" t="s">
        <v>14</v>
      </c>
      <c r="G42" s="4">
        <v>2.5</v>
      </c>
    </row>
    <row r="43" spans="1:7" x14ac:dyDescent="0.2">
      <c r="A43" s="9">
        <v>42</v>
      </c>
      <c r="B43" t="s">
        <v>80</v>
      </c>
      <c r="C43" t="s">
        <v>81</v>
      </c>
      <c r="D43" s="1">
        <v>2</v>
      </c>
      <c r="E43" s="1" t="s">
        <v>7</v>
      </c>
      <c r="F43" s="1" t="s">
        <v>13</v>
      </c>
      <c r="G43" s="4">
        <v>1.1000000000000001</v>
      </c>
    </row>
    <row r="44" spans="1:7" x14ac:dyDescent="0.2">
      <c r="A44" s="9">
        <v>43</v>
      </c>
      <c r="B44" t="s">
        <v>141</v>
      </c>
      <c r="C44" t="s">
        <v>161</v>
      </c>
      <c r="D44" s="1">
        <v>1</v>
      </c>
      <c r="E44" s="1" t="s">
        <v>140</v>
      </c>
      <c r="F44" s="1" t="s">
        <v>12</v>
      </c>
      <c r="G44" s="4">
        <v>3.7</v>
      </c>
    </row>
    <row r="45" spans="1:7" x14ac:dyDescent="0.2">
      <c r="A45" s="9">
        <v>44</v>
      </c>
      <c r="B45" s="8" t="s">
        <v>159</v>
      </c>
      <c r="C45" s="8" t="s">
        <v>160</v>
      </c>
      <c r="D45" s="1">
        <v>3</v>
      </c>
      <c r="E45" s="7" t="s">
        <v>119</v>
      </c>
      <c r="F45" s="7" t="s">
        <v>121</v>
      </c>
      <c r="G45" s="4">
        <v>4</v>
      </c>
    </row>
    <row r="46" spans="1:7" x14ac:dyDescent="0.2">
      <c r="A46" s="9">
        <v>45</v>
      </c>
      <c r="B46" s="8" t="s">
        <v>82</v>
      </c>
      <c r="C46" s="8" t="s">
        <v>157</v>
      </c>
      <c r="D46" s="1">
        <v>2</v>
      </c>
      <c r="E46" s="7" t="s">
        <v>32</v>
      </c>
      <c r="F46" s="7" t="s">
        <v>27</v>
      </c>
      <c r="G46" s="4">
        <v>2.5</v>
      </c>
    </row>
    <row r="47" spans="1:7" x14ac:dyDescent="0.2">
      <c r="A47" s="9">
        <v>46</v>
      </c>
      <c r="B47" t="s">
        <v>36</v>
      </c>
      <c r="C47" t="s">
        <v>37</v>
      </c>
      <c r="D47" s="1">
        <v>1</v>
      </c>
      <c r="E47" s="1" t="s">
        <v>7</v>
      </c>
      <c r="F47" s="1" t="s">
        <v>27</v>
      </c>
      <c r="G47" s="4">
        <v>1.2</v>
      </c>
    </row>
    <row r="48" spans="1:7" x14ac:dyDescent="0.2">
      <c r="A48" s="9">
        <v>47</v>
      </c>
      <c r="B48" t="s">
        <v>120</v>
      </c>
      <c r="C48" t="s">
        <v>62</v>
      </c>
      <c r="D48" s="1">
        <v>1</v>
      </c>
      <c r="E48" s="1" t="s">
        <v>15</v>
      </c>
      <c r="F48" s="1" t="s">
        <v>121</v>
      </c>
      <c r="G48" s="4">
        <v>3</v>
      </c>
    </row>
    <row r="49" spans="1:7" x14ac:dyDescent="0.2">
      <c r="A49" s="9">
        <v>48</v>
      </c>
      <c r="B49" t="s">
        <v>98</v>
      </c>
      <c r="C49" t="s">
        <v>99</v>
      </c>
      <c r="D49" s="1">
        <v>1</v>
      </c>
      <c r="E49" s="1" t="s">
        <v>9</v>
      </c>
      <c r="F49" s="1" t="s">
        <v>10</v>
      </c>
      <c r="G49" s="4">
        <v>1</v>
      </c>
    </row>
    <row r="50" spans="1:7" x14ac:dyDescent="0.2">
      <c r="A50" s="9">
        <v>49</v>
      </c>
      <c r="B50" t="s">
        <v>103</v>
      </c>
      <c r="C50" t="s">
        <v>104</v>
      </c>
      <c r="D50" s="1">
        <v>1</v>
      </c>
      <c r="E50" s="1" t="s">
        <v>11</v>
      </c>
      <c r="F50" s="1" t="s">
        <v>12</v>
      </c>
      <c r="G50" s="4">
        <v>0.25</v>
      </c>
    </row>
    <row r="51" spans="1:7" x14ac:dyDescent="0.2">
      <c r="A51" s="9">
        <v>50</v>
      </c>
      <c r="B51" t="s">
        <v>105</v>
      </c>
      <c r="C51" t="s">
        <v>106</v>
      </c>
      <c r="D51" s="1">
        <v>1</v>
      </c>
      <c r="E51" s="1" t="s">
        <v>11</v>
      </c>
      <c r="F51" s="1" t="s">
        <v>13</v>
      </c>
      <c r="G51" s="4">
        <v>3.8</v>
      </c>
    </row>
    <row r="52" spans="1:7" x14ac:dyDescent="0.2">
      <c r="A52" s="9">
        <v>51</v>
      </c>
      <c r="B52" t="s">
        <v>114</v>
      </c>
      <c r="C52" t="s">
        <v>115</v>
      </c>
      <c r="D52" s="1">
        <v>1</v>
      </c>
      <c r="E52" s="1" t="s">
        <v>11</v>
      </c>
      <c r="F52" s="1" t="s">
        <v>116</v>
      </c>
      <c r="G52" s="4">
        <v>4</v>
      </c>
    </row>
    <row r="53" spans="1:7" x14ac:dyDescent="0.2">
      <c r="A53" s="9">
        <v>52</v>
      </c>
      <c r="B53" s="5" t="s">
        <v>47</v>
      </c>
      <c r="C53" s="5" t="s">
        <v>129</v>
      </c>
      <c r="D53" s="1">
        <v>3</v>
      </c>
      <c r="E53" s="1" t="s">
        <v>11</v>
      </c>
      <c r="F53" s="6" t="s">
        <v>17</v>
      </c>
      <c r="G53" s="4">
        <v>3</v>
      </c>
    </row>
    <row r="54" spans="1:7" x14ac:dyDescent="0.2">
      <c r="A54" s="9">
        <v>53</v>
      </c>
      <c r="B54" t="s">
        <v>38</v>
      </c>
      <c r="C54" t="s">
        <v>39</v>
      </c>
      <c r="D54" s="1">
        <v>3</v>
      </c>
      <c r="E54" s="1" t="s">
        <v>7</v>
      </c>
      <c r="F54" s="1" t="s">
        <v>14</v>
      </c>
      <c r="G54" s="4">
        <v>3.3</v>
      </c>
    </row>
    <row r="55" spans="1:7" x14ac:dyDescent="0.2">
      <c r="A55" s="9">
        <v>54</v>
      </c>
      <c r="B55" t="s">
        <v>59</v>
      </c>
      <c r="C55" t="s">
        <v>60</v>
      </c>
      <c r="D55" s="1">
        <v>2</v>
      </c>
      <c r="E55" s="1" t="s">
        <v>18</v>
      </c>
      <c r="F55" s="1" t="s">
        <v>13</v>
      </c>
      <c r="G55" s="4">
        <v>1</v>
      </c>
    </row>
    <row r="56" spans="1:7" x14ac:dyDescent="0.2">
      <c r="A56" s="9">
        <v>55</v>
      </c>
      <c r="B56" t="s">
        <v>42</v>
      </c>
      <c r="C56" t="s">
        <v>43</v>
      </c>
      <c r="D56" s="1">
        <v>2</v>
      </c>
      <c r="E56" s="1" t="s">
        <v>11</v>
      </c>
      <c r="F56" s="1" t="s">
        <v>8</v>
      </c>
      <c r="G56" s="4">
        <v>2.2200000000000002</v>
      </c>
    </row>
    <row r="57" spans="1:7" x14ac:dyDescent="0.2">
      <c r="A57" s="9">
        <v>56</v>
      </c>
      <c r="B57" t="s">
        <v>65</v>
      </c>
      <c r="C57" t="s">
        <v>67</v>
      </c>
      <c r="D57" s="1">
        <v>4</v>
      </c>
      <c r="E57" s="1" t="s">
        <v>15</v>
      </c>
      <c r="F57" s="1" t="s">
        <v>16</v>
      </c>
      <c r="G57" s="4">
        <v>3.51</v>
      </c>
    </row>
    <row r="58" spans="1:7" x14ac:dyDescent="0.2">
      <c r="A58" s="9">
        <v>57</v>
      </c>
      <c r="B58" t="s">
        <v>98</v>
      </c>
      <c r="C58" t="s">
        <v>113</v>
      </c>
      <c r="D58" s="1">
        <v>2</v>
      </c>
      <c r="E58" s="1" t="s">
        <v>9</v>
      </c>
      <c r="F58" s="1" t="s">
        <v>28</v>
      </c>
      <c r="G58" s="4">
        <v>3.5</v>
      </c>
    </row>
    <row r="59" spans="1:7" x14ac:dyDescent="0.2">
      <c r="A59" s="9">
        <v>58</v>
      </c>
      <c r="B59" t="s">
        <v>164</v>
      </c>
      <c r="C59" t="s">
        <v>165</v>
      </c>
      <c r="D59" s="1">
        <v>2</v>
      </c>
      <c r="E59" s="1" t="s">
        <v>119</v>
      </c>
      <c r="F59" s="1" t="s">
        <v>29</v>
      </c>
      <c r="G59" s="4">
        <v>3</v>
      </c>
    </row>
    <row r="60" spans="1:7" x14ac:dyDescent="0.2">
      <c r="A60" s="9">
        <v>59</v>
      </c>
      <c r="B60" t="s">
        <v>126</v>
      </c>
      <c r="C60" t="s">
        <v>127</v>
      </c>
      <c r="D60" s="1">
        <v>4</v>
      </c>
      <c r="E60" s="1" t="s">
        <v>18</v>
      </c>
      <c r="F60" s="1" t="s">
        <v>121</v>
      </c>
      <c r="G60" s="4">
        <v>4</v>
      </c>
    </row>
    <row r="61" spans="1:7" x14ac:dyDescent="0.2">
      <c r="A61" s="9">
        <v>60</v>
      </c>
      <c r="B61" t="s">
        <v>47</v>
      </c>
      <c r="C61" t="s">
        <v>48</v>
      </c>
      <c r="D61" s="1">
        <v>4</v>
      </c>
      <c r="E61" s="1" t="s">
        <v>11</v>
      </c>
      <c r="F61" s="1" t="s">
        <v>10</v>
      </c>
      <c r="G61" s="4">
        <v>3</v>
      </c>
    </row>
    <row r="62" spans="1:7" x14ac:dyDescent="0.2">
      <c r="A62" s="9">
        <v>61</v>
      </c>
      <c r="B62" s="8" t="s">
        <v>153</v>
      </c>
      <c r="C62" s="8" t="s">
        <v>154</v>
      </c>
      <c r="D62" s="1">
        <v>2</v>
      </c>
      <c r="E62" s="7" t="s">
        <v>31</v>
      </c>
      <c r="F62" s="7" t="s">
        <v>12</v>
      </c>
      <c r="G62" s="4">
        <v>3.5</v>
      </c>
    </row>
    <row r="63" spans="1:7" x14ac:dyDescent="0.2">
      <c r="A63" s="9">
        <v>62</v>
      </c>
      <c r="B63" t="s">
        <v>122</v>
      </c>
      <c r="C63" t="s">
        <v>123</v>
      </c>
      <c r="D63" s="1">
        <v>2</v>
      </c>
      <c r="E63" s="1" t="s">
        <v>11</v>
      </c>
      <c r="F63" s="1" t="s">
        <v>121</v>
      </c>
      <c r="G63" s="4">
        <v>3</v>
      </c>
    </row>
    <row r="64" spans="1:7" x14ac:dyDescent="0.2">
      <c r="A64" s="9">
        <v>63</v>
      </c>
      <c r="B64" s="8" t="s">
        <v>68</v>
      </c>
      <c r="C64" s="8" t="s">
        <v>158</v>
      </c>
      <c r="D64" s="1">
        <v>3</v>
      </c>
      <c r="E64" s="7" t="s">
        <v>31</v>
      </c>
      <c r="F64" s="7" t="s">
        <v>29</v>
      </c>
      <c r="G64" s="4">
        <v>3</v>
      </c>
    </row>
    <row r="65" spans="1:7" x14ac:dyDescent="0.2">
      <c r="A65" s="9">
        <v>64</v>
      </c>
      <c r="B65" t="s">
        <v>124</v>
      </c>
      <c r="C65" t="s">
        <v>125</v>
      </c>
      <c r="D65" s="1">
        <v>2</v>
      </c>
      <c r="E65" s="1" t="s">
        <v>7</v>
      </c>
      <c r="F65" s="1" t="s">
        <v>121</v>
      </c>
      <c r="G65" s="4">
        <v>3.3</v>
      </c>
    </row>
    <row r="66" spans="1:7" x14ac:dyDescent="0.2">
      <c r="A66" s="9">
        <v>65</v>
      </c>
      <c r="B66" t="s">
        <v>169</v>
      </c>
      <c r="C66" t="s">
        <v>168</v>
      </c>
      <c r="D66" s="1">
        <v>4</v>
      </c>
      <c r="E66" s="1" t="s">
        <v>11</v>
      </c>
      <c r="F66" s="1" t="s">
        <v>10</v>
      </c>
      <c r="G66" s="4">
        <v>4</v>
      </c>
    </row>
    <row r="67" spans="1:7" x14ac:dyDescent="0.2">
      <c r="A67" s="9">
        <v>66</v>
      </c>
      <c r="B67" t="s">
        <v>92</v>
      </c>
      <c r="C67" t="s">
        <v>93</v>
      </c>
      <c r="D67" s="1">
        <v>2</v>
      </c>
      <c r="E67" s="1" t="s">
        <v>18</v>
      </c>
      <c r="F67" s="1" t="s">
        <v>14</v>
      </c>
      <c r="G67" s="4">
        <v>1.5</v>
      </c>
    </row>
    <row r="68" spans="1:7" x14ac:dyDescent="0.2">
      <c r="A68" s="9">
        <v>67</v>
      </c>
      <c r="B68" t="s">
        <v>68</v>
      </c>
      <c r="C68" t="s">
        <v>69</v>
      </c>
      <c r="D68" s="1">
        <v>3</v>
      </c>
      <c r="E68" s="1" t="s">
        <v>31</v>
      </c>
      <c r="F68" s="1" t="s">
        <v>5</v>
      </c>
      <c r="G68" s="4">
        <v>2.8</v>
      </c>
    </row>
    <row r="69" spans="1:7" x14ac:dyDescent="0.2">
      <c r="A69" s="9">
        <v>68</v>
      </c>
      <c r="B69" t="s">
        <v>55</v>
      </c>
      <c r="C69" t="s">
        <v>56</v>
      </c>
      <c r="D69" s="1">
        <v>2</v>
      </c>
      <c r="E69" s="1" t="s">
        <v>3</v>
      </c>
      <c r="F69" s="1" t="s">
        <v>5</v>
      </c>
      <c r="G69" s="4">
        <v>4</v>
      </c>
    </row>
    <row r="70" spans="1:7" x14ac:dyDescent="0.2">
      <c r="A70" s="9">
        <v>69</v>
      </c>
      <c r="B70" t="s">
        <v>166</v>
      </c>
      <c r="C70" t="s">
        <v>167</v>
      </c>
      <c r="D70" s="1">
        <v>3</v>
      </c>
      <c r="E70" s="1" t="s">
        <v>119</v>
      </c>
      <c r="F70" s="1" t="s">
        <v>14</v>
      </c>
      <c r="G70" s="4">
        <v>3.5</v>
      </c>
    </row>
    <row r="71" spans="1:7" x14ac:dyDescent="0.2">
      <c r="A71" s="9">
        <v>70</v>
      </c>
      <c r="B71" t="s">
        <v>110</v>
      </c>
      <c r="C71" t="s">
        <v>111</v>
      </c>
      <c r="D71" s="1">
        <v>2</v>
      </c>
      <c r="E71" s="1" t="s">
        <v>3</v>
      </c>
      <c r="F71" s="1" t="s">
        <v>12</v>
      </c>
      <c r="G71" s="4">
        <v>4</v>
      </c>
    </row>
    <row r="72" spans="1:7" x14ac:dyDescent="0.2">
      <c r="A72" s="9"/>
    </row>
    <row r="73" spans="1:7" x14ac:dyDescent="0.2">
      <c r="A73" s="9"/>
    </row>
    <row r="74" spans="1:7" x14ac:dyDescent="0.2">
      <c r="A74" s="2" t="s">
        <v>135</v>
      </c>
      <c r="B74" s="2" t="s">
        <v>34</v>
      </c>
      <c r="C74" s="2" t="s">
        <v>35</v>
      </c>
      <c r="D74" s="2" t="s">
        <v>0</v>
      </c>
      <c r="E74" s="2" t="s">
        <v>1</v>
      </c>
      <c r="F74" s="2" t="s">
        <v>4</v>
      </c>
      <c r="G74" s="3" t="s">
        <v>170</v>
      </c>
    </row>
    <row r="75" spans="1:7" x14ac:dyDescent="0.2">
      <c r="A75"/>
      <c r="D75">
        <v>4</v>
      </c>
      <c r="E75" s="10" t="s">
        <v>11</v>
      </c>
      <c r="F75"/>
      <c r="G75"/>
    </row>
    <row r="76" spans="1:7" x14ac:dyDescent="0.2">
      <c r="A76" s="2" t="s">
        <v>135</v>
      </c>
      <c r="B76" s="2" t="s">
        <v>34</v>
      </c>
      <c r="C76" s="2" t="s">
        <v>35</v>
      </c>
      <c r="D76" s="2" t="s">
        <v>0</v>
      </c>
      <c r="E76" s="2" t="s">
        <v>1</v>
      </c>
      <c r="F76" s="2" t="s">
        <v>4</v>
      </c>
      <c r="G76" s="3" t="s">
        <v>170</v>
      </c>
    </row>
    <row r="77" spans="1:7" x14ac:dyDescent="0.2">
      <c r="A77"/>
      <c r="D77">
        <v>4</v>
      </c>
      <c r="E77" s="10" t="s">
        <v>119</v>
      </c>
      <c r="F77"/>
      <c r="G77"/>
    </row>
    <row r="78" spans="1:7" x14ac:dyDescent="0.2">
      <c r="A78"/>
      <c r="D78"/>
      <c r="E78"/>
      <c r="F78"/>
      <c r="G78"/>
    </row>
    <row r="79" spans="1:7" x14ac:dyDescent="0.2">
      <c r="A79"/>
      <c r="D79"/>
      <c r="E79"/>
      <c r="F79"/>
      <c r="G79"/>
    </row>
    <row r="80" spans="1:7" x14ac:dyDescent="0.2">
      <c r="A80" t="s">
        <v>176</v>
      </c>
      <c r="D80" t="s">
        <v>177</v>
      </c>
      <c r="E80"/>
      <c r="F80"/>
      <c r="G80"/>
    </row>
    <row r="81" spans="1:7" x14ac:dyDescent="0.2">
      <c r="A81">
        <f>DAVERAGE(A1:G71,G1,D74:D75)</f>
        <v>3.4199999999999995</v>
      </c>
      <c r="D81">
        <f>DCOUNT(A1:G71, A1,D74:D75)</f>
        <v>21</v>
      </c>
      <c r="E81"/>
      <c r="F81"/>
      <c r="G81"/>
    </row>
    <row r="82" spans="1:7" x14ac:dyDescent="0.2">
      <c r="A82"/>
      <c r="D82"/>
      <c r="E82"/>
      <c r="F82"/>
      <c r="G82"/>
    </row>
    <row r="84" spans="1:7" x14ac:dyDescent="0.2">
      <c r="A84" s="1" t="s">
        <v>178</v>
      </c>
    </row>
    <row r="85" spans="1:7" x14ac:dyDescent="0.2">
      <c r="A85" s="12">
        <f>DMIN(A1:G71,G1, D74:D75)</f>
        <v>1</v>
      </c>
    </row>
    <row r="87" spans="1:7" x14ac:dyDescent="0.2">
      <c r="A87" s="1" t="s">
        <v>179</v>
      </c>
      <c r="C87" t="s">
        <v>180</v>
      </c>
    </row>
    <row r="88" spans="1:7" x14ac:dyDescent="0.2">
      <c r="A88" s="12">
        <f>DMAX(A1:G71,G1,D74:E75)</f>
        <v>4</v>
      </c>
      <c r="C88">
        <f>DMAX(A1:G71,G1,D76:E77)</f>
        <v>3.5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Props1.xml><?xml version="1.0" encoding="utf-8"?>
<ds:datastoreItem xmlns:ds="http://schemas.openxmlformats.org/officeDocument/2006/customXml" ds:itemID="{9BD9B5B9-0E7E-4DE9-BDE0-22FD62B8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F22D1A-8614-4BB1-94F7-B04BB1C24D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3A1D6C-56F4-4055-951D-EAE0E8F61828}">
  <ds:schemaRefs>
    <ds:schemaRef ds:uri="http://purl.org/dc/terms/"/>
    <ds:schemaRef ds:uri="55700998-527b-41f2-899c-78f7b4e9e77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948357-9647-417c-9885-9e9896ad71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College</vt:lpstr>
      <vt:lpstr>Advanced Filter</vt:lpstr>
      <vt:lpstr>Advanced Filter - AND</vt:lpstr>
      <vt:lpstr>Advanced Filter - OR</vt:lpstr>
      <vt:lpstr>Adv. Filter - AND Same Field</vt:lpstr>
      <vt:lpstr>Database Functions</vt:lpstr>
      <vt:lpstr>'Adv. Filter - AND Same Field'!Criteria</vt:lpstr>
      <vt:lpstr>'Advanced Filter'!Criteria</vt:lpstr>
      <vt:lpstr>'Advanced Filter - AND'!Criteria</vt:lpstr>
      <vt:lpstr>'Advanced Filter - OR'!Criteria</vt:lpstr>
      <vt:lpstr>College!Criteria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Nyhoff</dc:creator>
  <cp:lastModifiedBy>Alejandro De La Torre</cp:lastModifiedBy>
  <cp:lastPrinted>1998-12-02T03:43:23Z</cp:lastPrinted>
  <dcterms:created xsi:type="dcterms:W3CDTF">1997-12-02T02:34:56Z</dcterms:created>
  <dcterms:modified xsi:type="dcterms:W3CDTF">2025-10-23T22:10:08Z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