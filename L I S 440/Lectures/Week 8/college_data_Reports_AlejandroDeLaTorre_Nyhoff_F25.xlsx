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8/"/>
    </mc:Choice>
  </mc:AlternateContent>
  <xr:revisionPtr revIDLastSave="2" documentId="8_{248B467F-C75F-4ACE-AF46-945848A391A0}" xr6:coauthVersionLast="47" xr6:coauthVersionMax="47" xr10:uidLastSave="{C9CDACA6-4FCF-4994-A608-40EFF64D4670}"/>
  <bookViews>
    <workbookView xWindow="-120" yWindow="-120" windowWidth="22920" windowHeight="13800" xr2:uid="{00000000-000D-0000-FFFF-FFFF00000000}"/>
  </bookViews>
  <sheets>
    <sheet name="College" sheetId="2" r:id="rId1"/>
    <sheet name="Sheet1" sheetId="7" r:id="rId2"/>
    <sheet name="Pivot Table" sheetId="6" r:id="rId3"/>
  </sheets>
  <definedNames>
    <definedName name="_xlnm._FilterDatabase" localSheetId="0" hidden="1">College!$A$1:$H$99</definedName>
    <definedName name="_xlnm._FilterDatabase" localSheetId="2" hidden="1">'Pivot Table'!$A$1:$I$81</definedName>
    <definedName name="_xlnm.Criteria" localSheetId="0">College!$A$104:$G$106</definedName>
    <definedName name="_xlnm.Criteria" localSheetId="2">'Pivot Table'!$A$84:$H$86</definedName>
  </definedNames>
  <calcPr calcId="191029" concurrentCalc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12" i="2"/>
  <c r="G15" i="2"/>
  <c r="G24" i="2"/>
  <c r="G31" i="2"/>
  <c r="G33" i="2"/>
  <c r="G35" i="2"/>
  <c r="G41" i="2"/>
  <c r="G43" i="2"/>
  <c r="G52" i="2"/>
  <c r="G55" i="2"/>
  <c r="G59" i="2"/>
  <c r="G70" i="2"/>
  <c r="G73" i="2"/>
  <c r="G79" i="2"/>
  <c r="G84" i="2"/>
  <c r="G89" i="2"/>
  <c r="G94" i="2"/>
  <c r="G101" i="2"/>
  <c r="G100" i="2"/>
</calcChain>
</file>

<file path=xl/sharedStrings.xml><?xml version="1.0" encoding="utf-8"?>
<sst xmlns="http://schemas.openxmlformats.org/spreadsheetml/2006/main" count="762" uniqueCount="225">
  <si>
    <t>Class Level</t>
  </si>
  <si>
    <t>Home State</t>
  </si>
  <si>
    <t>Arkansas</t>
  </si>
  <si>
    <t>Illinois</t>
  </si>
  <si>
    <t>Major</t>
  </si>
  <si>
    <t>Religion</t>
  </si>
  <si>
    <t>Poli Sci</t>
  </si>
  <si>
    <t>New York</t>
  </si>
  <si>
    <t>Speech</t>
  </si>
  <si>
    <t>Rhode Island</t>
  </si>
  <si>
    <t>Undecided</t>
  </si>
  <si>
    <t>California</t>
  </si>
  <si>
    <t>Phys Ed</t>
  </si>
  <si>
    <t>Philosophy</t>
  </si>
  <si>
    <t>Business</t>
  </si>
  <si>
    <t>Washington</t>
  </si>
  <si>
    <t>Psychology</t>
  </si>
  <si>
    <t>English</t>
  </si>
  <si>
    <t>Massachusetts</t>
  </si>
  <si>
    <t>Indiana</t>
  </si>
  <si>
    <t>Agriculture</t>
  </si>
  <si>
    <t>Maine</t>
  </si>
  <si>
    <t>Pre-Med</t>
  </si>
  <si>
    <t>Iowa</t>
  </si>
  <si>
    <t>Pennsylvania</t>
  </si>
  <si>
    <t>Maryland</t>
  </si>
  <si>
    <t>Nursing</t>
  </si>
  <si>
    <t>Communications</t>
  </si>
  <si>
    <t>Education</t>
  </si>
  <si>
    <t>Drama</t>
  </si>
  <si>
    <t>Hawaii</t>
  </si>
  <si>
    <t>Alabama</t>
  </si>
  <si>
    <t>North Carolina</t>
  </si>
  <si>
    <t>Texas</t>
  </si>
  <si>
    <t>Last Name</t>
  </si>
  <si>
    <t>First Name</t>
  </si>
  <si>
    <t>Bania</t>
  </si>
  <si>
    <t>Kenny</t>
  </si>
  <si>
    <t>Benes</t>
  </si>
  <si>
    <t>Elaine</t>
  </si>
  <si>
    <t>Sideshow</t>
  </si>
  <si>
    <t>Bob</t>
  </si>
  <si>
    <t>Bouvier</t>
  </si>
  <si>
    <t>Patty</t>
  </si>
  <si>
    <t>Selma</t>
  </si>
  <si>
    <t>Boyd</t>
  </si>
  <si>
    <t>Woody</t>
  </si>
  <si>
    <t>Brown</t>
  </si>
  <si>
    <t>Charlie</t>
  </si>
  <si>
    <t>Bueller</t>
  </si>
  <si>
    <t>Ferris</t>
  </si>
  <si>
    <t>Burns</t>
  </si>
  <si>
    <t>Frank</t>
  </si>
  <si>
    <t>George</t>
  </si>
  <si>
    <t>Calvin</t>
  </si>
  <si>
    <t>Johnny</t>
  </si>
  <si>
    <t>Chambers</t>
  </si>
  <si>
    <t>Diane</t>
  </si>
  <si>
    <t>Clavin</t>
  </si>
  <si>
    <t>Cliff</t>
  </si>
  <si>
    <t>Clinton</t>
  </si>
  <si>
    <t>William</t>
  </si>
  <si>
    <t>Clown</t>
  </si>
  <si>
    <t>Costanza</t>
  </si>
  <si>
    <t>Crane</t>
  </si>
  <si>
    <t>Frasier</t>
  </si>
  <si>
    <t>Niles</t>
  </si>
  <si>
    <t>Flanders</t>
  </si>
  <si>
    <t>Ned</t>
  </si>
  <si>
    <t>Houlihan</t>
  </si>
  <si>
    <t>Margaret</t>
  </si>
  <si>
    <t>Howe</t>
  </si>
  <si>
    <t>Rebecca</t>
  </si>
  <si>
    <t>Howell</t>
  </si>
  <si>
    <t>Thurston</t>
  </si>
  <si>
    <t>Hunnicutt</t>
  </si>
  <si>
    <t>BJ</t>
  </si>
  <si>
    <t>Keaton</t>
  </si>
  <si>
    <t>Alex</t>
  </si>
  <si>
    <t>Kramer</t>
  </si>
  <si>
    <t>Cosmo</t>
  </si>
  <si>
    <t>Lovejoy</t>
  </si>
  <si>
    <t>Reverend</t>
  </si>
  <si>
    <t>Malone</t>
  </si>
  <si>
    <t>Sam</t>
  </si>
  <si>
    <t>Moon</t>
  </si>
  <si>
    <t>Daphne</t>
  </si>
  <si>
    <t>Mulcahy</t>
  </si>
  <si>
    <t>Francis</t>
  </si>
  <si>
    <t>O'Reilly</t>
  </si>
  <si>
    <t>Walter</t>
  </si>
  <si>
    <t>Peterson</t>
  </si>
  <si>
    <t>Norm</t>
  </si>
  <si>
    <t>Pierce</t>
  </si>
  <si>
    <t>Benjamin</t>
  </si>
  <si>
    <t>Seinfeld</t>
  </si>
  <si>
    <t>Jerry</t>
  </si>
  <si>
    <t>Simpson</t>
  </si>
  <si>
    <t>Bart</t>
  </si>
  <si>
    <t>Homer</t>
  </si>
  <si>
    <t>Lisa</t>
  </si>
  <si>
    <t>Marge</t>
  </si>
  <si>
    <t>Spicoli</t>
  </si>
  <si>
    <t>Jeff</t>
  </si>
  <si>
    <t>Van Pelt</t>
  </si>
  <si>
    <t>Linus</t>
  </si>
  <si>
    <t>Lucy</t>
  </si>
  <si>
    <t>Obama</t>
  </si>
  <si>
    <t>Barack</t>
  </si>
  <si>
    <t>Troll</t>
  </si>
  <si>
    <t>Trin</t>
  </si>
  <si>
    <t>Krusty</t>
  </si>
  <si>
    <t>Maggie</t>
  </si>
  <si>
    <t>Wilson</t>
  </si>
  <si>
    <t>Brian</t>
  </si>
  <si>
    <t>Music</t>
  </si>
  <si>
    <t>Starkey</t>
  </si>
  <si>
    <t>Richard</t>
  </si>
  <si>
    <t>Virginia</t>
  </si>
  <si>
    <t>Gates</t>
  </si>
  <si>
    <t>Computing</t>
  </si>
  <si>
    <t>Jobs</t>
  </si>
  <si>
    <t>Steven</t>
  </si>
  <si>
    <t>Zuckerberg</t>
  </si>
  <si>
    <t>Mark</t>
  </si>
  <si>
    <t>Kay</t>
  </si>
  <si>
    <t>Alan</t>
  </si>
  <si>
    <t>Sally</t>
  </si>
  <si>
    <t>Hamilton</t>
  </si>
  <si>
    <t>Bethany</t>
  </si>
  <si>
    <t>Heron</t>
  </si>
  <si>
    <t>Cady</t>
  </si>
  <si>
    <t>Mathematics</t>
  </si>
  <si>
    <t>Student Number</t>
  </si>
  <si>
    <t>Carlisle</t>
  </si>
  <si>
    <t>Belinda</t>
  </si>
  <si>
    <t>Ross</t>
  </si>
  <si>
    <t>Diana</t>
  </si>
  <si>
    <t>Michigan</t>
  </si>
  <si>
    <t>Lange</t>
  </si>
  <si>
    <t>Mayer</t>
  </si>
  <si>
    <t>Marissa</t>
  </si>
  <si>
    <t>Hopper</t>
  </si>
  <si>
    <t>Grace</t>
  </si>
  <si>
    <t>Laurel</t>
  </si>
  <si>
    <t>Brenda</t>
  </si>
  <si>
    <t>Ohio</t>
  </si>
  <si>
    <t>Turkle</t>
  </si>
  <si>
    <t>Sherry</t>
  </si>
  <si>
    <t>Joan</t>
  </si>
  <si>
    <t>Van</t>
  </si>
  <si>
    <t>Hamm</t>
  </si>
  <si>
    <t>Mia</t>
  </si>
  <si>
    <t>Hiller</t>
  </si>
  <si>
    <t>Kelly</t>
  </si>
  <si>
    <t>Helen</t>
  </si>
  <si>
    <t>Maude</t>
  </si>
  <si>
    <t>Byron</t>
  </si>
  <si>
    <t>Ada</t>
  </si>
  <si>
    <t>Megan</t>
  </si>
  <si>
    <t>Lynch</t>
  </si>
  <si>
    <t>Sara</t>
  </si>
  <si>
    <t>Valerie</t>
  </si>
  <si>
    <t>Rose</t>
  </si>
  <si>
    <t>Desmond</t>
  </si>
  <si>
    <t>Molly</t>
  </si>
  <si>
    <t>Callie</t>
  </si>
  <si>
    <t>Black</t>
  </si>
  <si>
    <t>GPA</t>
  </si>
  <si>
    <t>Badger</t>
  </si>
  <si>
    <t>Bucky</t>
  </si>
  <si>
    <t>Wisconsin</t>
  </si>
  <si>
    <t>Macca</t>
  </si>
  <si>
    <t>Paul</t>
  </si>
  <si>
    <t>Ember</t>
  </si>
  <si>
    <t>Becca</t>
  </si>
  <si>
    <t>Quinn</t>
  </si>
  <si>
    <t>Billy</t>
  </si>
  <si>
    <t>Baer</t>
  </si>
  <si>
    <t>Oski</t>
  </si>
  <si>
    <t>Poppins</t>
  </si>
  <si>
    <t>Mary</t>
  </si>
  <si>
    <t>Florida</t>
  </si>
  <si>
    <t>Stipe</t>
  </si>
  <si>
    <t>Michael</t>
  </si>
  <si>
    <t>Georgia</t>
  </si>
  <si>
    <t>Hoffs</t>
  </si>
  <si>
    <t>Suzanna</t>
  </si>
  <si>
    <t>Regina</t>
  </si>
  <si>
    <t>Montez</t>
  </si>
  <si>
    <t>Gabriella</t>
  </si>
  <si>
    <t>New Mexico</t>
  </si>
  <si>
    <t>Bolton</t>
  </si>
  <si>
    <t>Troy</t>
  </si>
  <si>
    <t>Arizona</t>
  </si>
  <si>
    <t>Credits This Term</t>
  </si>
  <si>
    <t>On-Campus Housing</t>
  </si>
  <si>
    <t>No</t>
  </si>
  <si>
    <t>Yes</t>
  </si>
  <si>
    <t>De La Torre</t>
  </si>
  <si>
    <t>Alejandro</t>
  </si>
  <si>
    <t>Economics</t>
  </si>
  <si>
    <t>Agriculture Average</t>
  </si>
  <si>
    <t>Business Average</t>
  </si>
  <si>
    <t>Communications Average</t>
  </si>
  <si>
    <t>Computing Average</t>
  </si>
  <si>
    <t>Drama Average</t>
  </si>
  <si>
    <t>Economics Average</t>
  </si>
  <si>
    <t>Education Average</t>
  </si>
  <si>
    <t>English Average</t>
  </si>
  <si>
    <t>Mathematics Average</t>
  </si>
  <si>
    <t>Music Average</t>
  </si>
  <si>
    <t>Nursing Average</t>
  </si>
  <si>
    <t>Philosophy Average</t>
  </si>
  <si>
    <t>Phys Ed Average</t>
  </si>
  <si>
    <t>Poli Sci Average</t>
  </si>
  <si>
    <t>Pre-Med Average</t>
  </si>
  <si>
    <t>Psychology Average</t>
  </si>
  <si>
    <t>Religion Average</t>
  </si>
  <si>
    <t>Speech Average</t>
  </si>
  <si>
    <t>Undecided Average</t>
  </si>
  <si>
    <t>Grand Average</t>
  </si>
  <si>
    <t>Row Labels</t>
  </si>
  <si>
    <t>Grand Total</t>
  </si>
  <si>
    <t>Average of 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</si>
</sst>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"/>
  </numFmts>
  <fonts count="5" x14ac:knownFonts="1">
    <font>
      <sz val="10"/>
      <name val="Arial"/>
    </font>
    <font>
      <b/>
      <sz val="10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De La Torre" refreshedDate="45953.719919791663" createdVersion="8" refreshedVersion="8" minRefreshableVersion="3" recordCount="80" xr:uid="{2362BC94-3E41-44C0-A96E-7D71D1BEE71A}">
  <cacheSource type="worksheet">
    <worksheetSource ref="A1:I81" sheet="Pivot Table"/>
  </cacheSource>
  <cacheFields count="9">
    <cacheField name="Student Number" numFmtId="164">
      <sharedItems containsSemiMixedTypes="0" containsString="0" containsNumber="1" containsInteger="1" minValue="1" maxValue="80"/>
    </cacheField>
    <cacheField name="Last Name" numFmtId="0">
      <sharedItems/>
    </cacheField>
    <cacheField name="First Name" numFmtId="0">
      <sharedItems/>
    </cacheField>
    <cacheField name="On-Campus Housing" numFmtId="0">
      <sharedItems count="2">
        <s v="No"/>
        <s v="Yes"/>
      </sharedItems>
    </cacheField>
    <cacheField name="Class Level" numFmtId="0">
      <sharedItems containsSemiMixedTypes="0" containsString="0" containsNumber="1" containsInteger="1" minValue="1" maxValue="4"/>
    </cacheField>
    <cacheField name="Home State" numFmtId="0">
      <sharedItems count="24">
        <s v="Maine"/>
        <s v="California"/>
        <s v="Illinois"/>
        <s v="Indiana"/>
        <s v="New York"/>
        <s v="Massachusetts"/>
        <s v="Arkansas"/>
        <s v="Washington"/>
        <s v="Florida"/>
        <s v="North Carolina"/>
        <s v="Pennsylvania"/>
        <s v="Rhode Island"/>
        <s v="Virginia"/>
        <s v="Michigan"/>
        <s v="Georgia"/>
        <s v="Iowa"/>
        <s v="Ohio"/>
        <s v="Texas"/>
        <s v="Maryland"/>
        <s v="Hawaii"/>
        <s v="Wisconsin"/>
        <s v="Alabama"/>
        <s v="New Mexico"/>
        <s v="Arizona"/>
      </sharedItems>
    </cacheField>
    <cacheField name="Major" numFmtId="0">
      <sharedItems/>
    </cacheField>
    <cacheField name="GPA" numFmtId="0">
      <sharedItems containsSemiMixedTypes="0" containsString="0" containsNumber="1" minValue="0.25" maxValue="4"/>
    </cacheField>
    <cacheField name="Credits This Term" numFmtId="0">
      <sharedItems containsSemiMixedTypes="0" containsString="0" containsNumber="1" containsInteger="1" minValue="12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n v="1"/>
    <s v="Pierce"/>
    <s v="Benjamin"/>
    <x v="0"/>
    <n v="4"/>
    <x v="0"/>
    <s v="Pre-Med"/>
    <n v="3.9"/>
    <n v="16"/>
  </r>
  <r>
    <n v="2"/>
    <s v="Van Pelt"/>
    <s v="Lucy"/>
    <x v="0"/>
    <n v="4"/>
    <x v="1"/>
    <s v="Psychology"/>
    <n v="2.8"/>
    <n v="17"/>
  </r>
  <r>
    <n v="3"/>
    <s v="Bueller"/>
    <s v="Ferris"/>
    <x v="1"/>
    <n v="4"/>
    <x v="2"/>
    <s v="Undecided"/>
    <n v="4"/>
    <n v="15"/>
  </r>
  <r>
    <n v="4"/>
    <s v="Burns"/>
    <s v="Frank"/>
    <x v="0"/>
    <n v="4"/>
    <x v="3"/>
    <s v="Pre-Med"/>
    <n v="1"/>
    <n v="18"/>
  </r>
  <r>
    <n v="5"/>
    <s v="Costanza"/>
    <s v="George"/>
    <x v="0"/>
    <n v="2"/>
    <x v="4"/>
    <s v="Undecided"/>
    <n v="2.0099999999999998"/>
    <n v="15"/>
  </r>
  <r>
    <n v="6"/>
    <s v="Chambers"/>
    <s v="Diane"/>
    <x v="1"/>
    <n v="4"/>
    <x v="5"/>
    <s v="English"/>
    <n v="3.99"/>
    <n v="15"/>
  </r>
  <r>
    <n v="7"/>
    <s v="Clinton"/>
    <s v="Billy"/>
    <x v="0"/>
    <n v="4"/>
    <x v="6"/>
    <s v="Poli Sci"/>
    <n v="3"/>
    <n v="17"/>
  </r>
  <r>
    <n v="8"/>
    <s v="Crane"/>
    <s v="Frasier"/>
    <x v="1"/>
    <n v="4"/>
    <x v="7"/>
    <s v="Psychology"/>
    <n v="3.52"/>
    <n v="14"/>
  </r>
  <r>
    <n v="9"/>
    <s v="Mayer"/>
    <s v="Marissa"/>
    <x v="1"/>
    <n v="1"/>
    <x v="1"/>
    <s v="Computing"/>
    <n v="4"/>
    <n v="12"/>
  </r>
  <r>
    <n v="10"/>
    <s v="Turkle"/>
    <s v="Sherry"/>
    <x v="1"/>
    <n v="1"/>
    <x v="5"/>
    <s v="Psychology"/>
    <n v="4"/>
    <n v="15"/>
  </r>
  <r>
    <n v="11"/>
    <s v="Poppins"/>
    <s v="Mary"/>
    <x v="1"/>
    <n v="4"/>
    <x v="8"/>
    <s v="Drama"/>
    <n v="3.5"/>
    <n v="13"/>
  </r>
  <r>
    <n v="12"/>
    <s v="Lovejoy"/>
    <s v="Reverend"/>
    <x v="0"/>
    <n v="4"/>
    <x v="9"/>
    <s v="Religion"/>
    <n v="2.9"/>
    <n v="16"/>
  </r>
  <r>
    <n v="13"/>
    <s v="Mulcahy"/>
    <s v="Francis"/>
    <x v="0"/>
    <n v="4"/>
    <x v="10"/>
    <s v="Religion"/>
    <n v="3.2"/>
    <n v="12"/>
  </r>
  <r>
    <n v="14"/>
    <s v="Obama"/>
    <s v="Barack"/>
    <x v="0"/>
    <n v="4"/>
    <x v="2"/>
    <s v="Poli Sci"/>
    <n v="3"/>
    <n v="13"/>
  </r>
  <r>
    <n v="15"/>
    <s v="Sideshow"/>
    <s v="Bob"/>
    <x v="1"/>
    <n v="4"/>
    <x v="1"/>
    <s v="Drama"/>
    <n v="4"/>
    <n v="13"/>
  </r>
  <r>
    <n v="16"/>
    <s v="Heron"/>
    <s v="Cady"/>
    <x v="1"/>
    <n v="1"/>
    <x v="2"/>
    <s v="Mathematics"/>
    <n v="4"/>
    <n v="16"/>
  </r>
  <r>
    <n v="17"/>
    <s v="Simpson"/>
    <s v="Lisa"/>
    <x v="0"/>
    <n v="4"/>
    <x v="11"/>
    <s v="Speech"/>
    <n v="4"/>
    <n v="15"/>
  </r>
  <r>
    <n v="18"/>
    <s v="Starkey"/>
    <s v="Richard"/>
    <x v="1"/>
    <n v="4"/>
    <x v="12"/>
    <s v="Music"/>
    <n v="3.5"/>
    <n v="13"/>
  </r>
  <r>
    <n v="19"/>
    <s v="Van"/>
    <s v="Joan"/>
    <x v="1"/>
    <n v="3"/>
    <x v="12"/>
    <s v="Music"/>
    <n v="3"/>
    <n v="18"/>
  </r>
  <r>
    <n v="20"/>
    <s v="Carlisle"/>
    <s v="Belinda"/>
    <x v="1"/>
    <n v="1"/>
    <x v="1"/>
    <s v="Music"/>
    <n v="2.5"/>
    <n v="14"/>
  </r>
  <r>
    <n v="21"/>
    <s v="Lynch"/>
    <s v="Sara"/>
    <x v="1"/>
    <n v="1"/>
    <x v="13"/>
    <s v="Music"/>
    <n v="3"/>
    <n v="17"/>
  </r>
  <r>
    <n v="22"/>
    <s v="Howe"/>
    <s v="Rebecca"/>
    <x v="1"/>
    <n v="3"/>
    <x v="5"/>
    <s v="Business"/>
    <n v="3.98"/>
    <n v="18"/>
  </r>
  <r>
    <n v="23"/>
    <s v="Hiller"/>
    <s v="Kelly"/>
    <x v="1"/>
    <n v="1"/>
    <x v="2"/>
    <s v="Phys Ed"/>
    <n v="4"/>
    <n v="17"/>
  </r>
  <r>
    <n v="24"/>
    <s v="Stipe"/>
    <s v="Michael"/>
    <x v="0"/>
    <n v="2"/>
    <x v="14"/>
    <s v="English"/>
    <n v="3.6"/>
    <n v="16"/>
  </r>
  <r>
    <n v="25"/>
    <s v="Baer"/>
    <s v="Oski"/>
    <x v="0"/>
    <n v="2"/>
    <x v="1"/>
    <s v="Phys Ed"/>
    <n v="3"/>
    <n v="18"/>
  </r>
  <r>
    <n v="26"/>
    <s v="Malone"/>
    <s v="Sam"/>
    <x v="0"/>
    <n v="3"/>
    <x v="5"/>
    <s v="Phys Ed"/>
    <n v="2.2000000000000002"/>
    <n v="14"/>
  </r>
  <r>
    <n v="27"/>
    <s v="Moon"/>
    <s v="Daphne"/>
    <x v="1"/>
    <n v="3"/>
    <x v="7"/>
    <s v="English"/>
    <n v="3"/>
    <n v="15"/>
  </r>
  <r>
    <n v="28"/>
    <s v="O'Reilly"/>
    <s v="Walter"/>
    <x v="0"/>
    <n v="3"/>
    <x v="15"/>
    <s v="Agriculture"/>
    <n v="2.2000000000000002"/>
    <n v="17"/>
  </r>
  <r>
    <n v="29"/>
    <s v="Seinfeld"/>
    <s v="Jerry"/>
    <x v="0"/>
    <n v="3"/>
    <x v="4"/>
    <s v="Speech"/>
    <n v="2.8"/>
    <n v="13"/>
  </r>
  <r>
    <n v="30"/>
    <s v="Simpson"/>
    <s v="Homer"/>
    <x v="1"/>
    <n v="3"/>
    <x v="11"/>
    <s v="Phys Ed"/>
    <n v="1.3"/>
    <n v="15"/>
  </r>
  <r>
    <n v="31"/>
    <s v="Hopper"/>
    <s v="Grace"/>
    <x v="1"/>
    <n v="4"/>
    <x v="4"/>
    <s v="Computing"/>
    <n v="4"/>
    <n v="16"/>
  </r>
  <r>
    <n v="32"/>
    <s v="Simpson"/>
    <s v="Marge"/>
    <x v="1"/>
    <n v="3"/>
    <x v="11"/>
    <s v="Nursing"/>
    <n v="3.3"/>
    <n v="16"/>
  </r>
  <r>
    <n v="33"/>
    <s v="George"/>
    <s v="Regina"/>
    <x v="0"/>
    <n v="4"/>
    <x v="1"/>
    <s v="Business"/>
    <n v="3.5"/>
    <n v="16"/>
  </r>
  <r>
    <n v="34"/>
    <s v="Quinn"/>
    <s v="Becca"/>
    <x v="1"/>
    <n v="4"/>
    <x v="1"/>
    <s v="Pre-Med"/>
    <n v="3.99"/>
    <n v="17"/>
  </r>
  <r>
    <n v="35"/>
    <s v="Boyd"/>
    <s v="Woody"/>
    <x v="0"/>
    <n v="2"/>
    <x v="3"/>
    <s v="Agriculture"/>
    <n v="2.2000000000000002"/>
    <n v="16"/>
  </r>
  <r>
    <n v="36"/>
    <s v="Laurel"/>
    <s v="Brenda"/>
    <x v="1"/>
    <n v="1"/>
    <x v="16"/>
    <s v="Computing"/>
    <n v="4"/>
    <n v="15"/>
  </r>
  <r>
    <n v="37"/>
    <s v="Hoffs"/>
    <s v="Suzanna"/>
    <x v="0"/>
    <n v="3"/>
    <x v="1"/>
    <s v="English"/>
    <n v="3.3"/>
    <n v="13"/>
  </r>
  <r>
    <n v="38"/>
    <s v="Clown"/>
    <s v="Krusty"/>
    <x v="1"/>
    <n v="2"/>
    <x v="1"/>
    <s v="Drama"/>
    <n v="1.9"/>
    <n v="15"/>
  </r>
  <r>
    <n v="39"/>
    <s v="Hamilton"/>
    <s v="Ember"/>
    <x v="1"/>
    <n v="1"/>
    <x v="17"/>
    <s v="Music"/>
    <n v="3"/>
    <n v="16"/>
  </r>
  <r>
    <n v="40"/>
    <s v="Houlihan"/>
    <s v="Margaret"/>
    <x v="0"/>
    <n v="2"/>
    <x v="18"/>
    <s v="Nursing"/>
    <n v="3.5"/>
    <n v="14"/>
  </r>
  <r>
    <n v="41"/>
    <s v="Howell"/>
    <s v="Thurston"/>
    <x v="1"/>
    <n v="3"/>
    <x v="19"/>
    <s v="Business"/>
    <n v="2.5"/>
    <n v="18"/>
  </r>
  <r>
    <n v="42"/>
    <s v="Kramer"/>
    <s v="Cosmo"/>
    <x v="1"/>
    <n v="2"/>
    <x v="4"/>
    <s v="Philosophy"/>
    <n v="1.1000000000000001"/>
    <n v="16"/>
  </r>
  <r>
    <n v="43"/>
    <s v="Lange"/>
    <s v="Megan"/>
    <x v="0"/>
    <n v="1"/>
    <x v="13"/>
    <s v="Phys Ed"/>
    <n v="3.7"/>
    <n v="16"/>
  </r>
  <r>
    <n v="44"/>
    <s v="Byron"/>
    <s v="Ada"/>
    <x v="0"/>
    <n v="3"/>
    <x v="12"/>
    <s v="Computing"/>
    <n v="4"/>
    <n v="18"/>
  </r>
  <r>
    <n v="45"/>
    <s v="Lovejoy"/>
    <s v="Helen"/>
    <x v="0"/>
    <n v="2"/>
    <x v="9"/>
    <s v="Communications"/>
    <n v="2.5"/>
    <n v="17"/>
  </r>
  <r>
    <n v="46"/>
    <s v="Bania"/>
    <s v="Kenny"/>
    <x v="1"/>
    <n v="1"/>
    <x v="4"/>
    <s v="Communications"/>
    <n v="1.2"/>
    <n v="12"/>
  </r>
  <r>
    <n v="47"/>
    <s v="Macca"/>
    <s v="Paul"/>
    <x v="1"/>
    <n v="1"/>
    <x v="20"/>
    <s v="Music"/>
    <n v="3.75"/>
    <n v="17"/>
  </r>
  <r>
    <n v="48"/>
    <s v="Simpson"/>
    <s v="Bart"/>
    <x v="1"/>
    <n v="1"/>
    <x v="11"/>
    <s v="Undecided"/>
    <n v="1"/>
    <n v="17"/>
  </r>
  <r>
    <n v="49"/>
    <s v="Spicoli"/>
    <s v="Jeff"/>
    <x v="1"/>
    <n v="1"/>
    <x v="1"/>
    <s v="Phys Ed"/>
    <n v="0.25"/>
    <n v="17"/>
  </r>
  <r>
    <n v="50"/>
    <s v="Van Pelt"/>
    <s v="Linus"/>
    <x v="0"/>
    <n v="1"/>
    <x v="1"/>
    <s v="Philosophy"/>
    <n v="3.8"/>
    <n v="15"/>
  </r>
  <r>
    <n v="51"/>
    <s v="Wilson"/>
    <s v="Brian"/>
    <x v="1"/>
    <n v="1"/>
    <x v="1"/>
    <s v="Music"/>
    <n v="4"/>
    <n v="14"/>
  </r>
  <r>
    <n v="52"/>
    <s v="Brown"/>
    <s v="Sally"/>
    <x v="1"/>
    <n v="3"/>
    <x v="1"/>
    <s v="English"/>
    <n v="3"/>
    <n v="16"/>
  </r>
  <r>
    <n v="53"/>
    <s v="Benes"/>
    <s v="Elaine"/>
    <x v="0"/>
    <n v="3"/>
    <x v="4"/>
    <s v="Business"/>
    <n v="3.3"/>
    <n v="18"/>
  </r>
  <r>
    <n v="54"/>
    <s v="Clavin"/>
    <s v="Cliff"/>
    <x v="0"/>
    <n v="2"/>
    <x v="5"/>
    <s v="Philosophy"/>
    <n v="1"/>
    <n v="14"/>
  </r>
  <r>
    <n v="55"/>
    <s v="Bouvier"/>
    <s v="Patty"/>
    <x v="1"/>
    <n v="2"/>
    <x v="1"/>
    <s v="Speech"/>
    <n v="2.2200000000000002"/>
    <n v="13"/>
  </r>
  <r>
    <n v="56"/>
    <s v="Crane"/>
    <s v="Niles"/>
    <x v="1"/>
    <n v="4"/>
    <x v="7"/>
    <s v="Psychology"/>
    <n v="3.51"/>
    <n v="14"/>
  </r>
  <r>
    <n v="57"/>
    <s v="Simpson"/>
    <s v="Maggie"/>
    <x v="1"/>
    <n v="2"/>
    <x v="11"/>
    <s v="Education"/>
    <n v="3.5"/>
    <n v="16"/>
  </r>
  <r>
    <n v="58"/>
    <s v="Valerie"/>
    <s v="Rose"/>
    <x v="0"/>
    <n v="2"/>
    <x v="12"/>
    <s v="Drama"/>
    <n v="3"/>
    <n v="18"/>
  </r>
  <r>
    <n v="59"/>
    <s v="Kay"/>
    <s v="Alan"/>
    <x v="1"/>
    <n v="4"/>
    <x v="5"/>
    <s v="Computing"/>
    <n v="4"/>
    <n v="14"/>
  </r>
  <r>
    <n v="60"/>
    <s v="Brown"/>
    <s v="Charlie"/>
    <x v="0"/>
    <n v="4"/>
    <x v="1"/>
    <s v="Undecided"/>
    <n v="3"/>
    <n v="16"/>
  </r>
  <r>
    <n v="61"/>
    <s v="Hamm"/>
    <s v="Mia"/>
    <x v="1"/>
    <n v="2"/>
    <x v="21"/>
    <s v="Phys Ed"/>
    <n v="3.5"/>
    <n v="12"/>
  </r>
  <r>
    <n v="62"/>
    <s v="Jobs"/>
    <s v="Steven"/>
    <x v="0"/>
    <n v="2"/>
    <x v="1"/>
    <s v="Computing"/>
    <n v="3"/>
    <n v="12"/>
  </r>
  <r>
    <n v="63"/>
    <s v="Flanders"/>
    <s v="Maude"/>
    <x v="1"/>
    <n v="3"/>
    <x v="21"/>
    <s v="Drama"/>
    <n v="3"/>
    <n v="17"/>
  </r>
  <r>
    <n v="64"/>
    <s v="Zuckerberg"/>
    <s v="Mark"/>
    <x v="1"/>
    <n v="2"/>
    <x v="4"/>
    <s v="Computing"/>
    <n v="3.3"/>
    <n v="13"/>
  </r>
  <r>
    <n v="65"/>
    <s v="Badger"/>
    <s v="Bucky"/>
    <x v="1"/>
    <n v="3"/>
    <x v="20"/>
    <s v="Phys Ed"/>
    <n v="4"/>
    <n v="14"/>
  </r>
  <r>
    <n v="66"/>
    <s v="Peterson"/>
    <s v="Norm"/>
    <x v="0"/>
    <n v="2"/>
    <x v="5"/>
    <s v="Business"/>
    <n v="1.5"/>
    <n v="17"/>
  </r>
  <r>
    <n v="67"/>
    <s v="Flanders"/>
    <s v="Ned"/>
    <x v="0"/>
    <n v="3"/>
    <x v="21"/>
    <s v="Religion"/>
    <n v="2.8"/>
    <n v="18"/>
  </r>
  <r>
    <n v="68"/>
    <s v="Calvin"/>
    <s v="Johnny"/>
    <x v="0"/>
    <n v="2"/>
    <x v="2"/>
    <s v="Religion"/>
    <n v="4"/>
    <n v="12"/>
  </r>
  <r>
    <n v="69"/>
    <s v="Desmond"/>
    <s v="Molly"/>
    <x v="0"/>
    <n v="3"/>
    <x v="12"/>
    <s v="Business"/>
    <n v="3.5"/>
    <n v="14"/>
  </r>
  <r>
    <n v="70"/>
    <s v="Troll"/>
    <s v="Trin"/>
    <x v="1"/>
    <n v="2"/>
    <x v="2"/>
    <s v="Phys Ed"/>
    <n v="4"/>
    <n v="14"/>
  </r>
  <r>
    <n v="71"/>
    <s v="Black"/>
    <s v="Callie"/>
    <x v="0"/>
    <n v="4"/>
    <x v="1"/>
    <s v="Undecided"/>
    <n v="4"/>
    <n v="16"/>
  </r>
  <r>
    <n v="72"/>
    <s v="Hunnicutt"/>
    <s v="BJ"/>
    <x v="1"/>
    <n v="3"/>
    <x v="1"/>
    <s v="Pre-Med"/>
    <n v="3.8"/>
    <n v="12"/>
  </r>
  <r>
    <n v="73"/>
    <s v="Bouvier"/>
    <s v="Selma"/>
    <x v="1"/>
    <n v="2"/>
    <x v="1"/>
    <s v="Speech"/>
    <n v="2.2200000000000002"/>
    <n v="13"/>
  </r>
  <r>
    <n v="74"/>
    <s v="Gates"/>
    <s v="William"/>
    <x v="0"/>
    <n v="1"/>
    <x v="7"/>
    <s v="Computing"/>
    <n v="3"/>
    <n v="12"/>
  </r>
  <r>
    <n v="75"/>
    <s v="Keaton"/>
    <s v="Alex"/>
    <x v="0"/>
    <n v="4"/>
    <x v="1"/>
    <s v="Business"/>
    <n v="4"/>
    <n v="17"/>
  </r>
  <r>
    <n v="76"/>
    <s v="Hamilton"/>
    <s v="Bethany"/>
    <x v="0"/>
    <n v="1"/>
    <x v="19"/>
    <s v="Phys Ed"/>
    <n v="4"/>
    <n v="18"/>
  </r>
  <r>
    <n v="77"/>
    <s v="Ross"/>
    <s v="Diana"/>
    <x v="1"/>
    <n v="1"/>
    <x v="13"/>
    <s v="Music"/>
    <n v="4"/>
    <n v="14"/>
  </r>
  <r>
    <n v="78"/>
    <s v="Montez"/>
    <s v="Gabriella"/>
    <x v="0"/>
    <n v="2"/>
    <x v="22"/>
    <s v="Pre-Med"/>
    <n v="3.99"/>
    <n v="14"/>
  </r>
  <r>
    <n v="79"/>
    <s v="Bolton"/>
    <s v="Troy"/>
    <x v="1"/>
    <n v="3"/>
    <x v="23"/>
    <s v="Drama"/>
    <n v="3.8"/>
    <n v="17"/>
  </r>
  <r>
    <n v="80"/>
    <s v="De La Torre"/>
    <s v="Alejandro"/>
    <x v="0"/>
    <n v="4"/>
    <x v="1"/>
    <s v="Economics"/>
    <n v="3.34"/>
    <n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22F37-99AE-4BB2-9D5C-2F054774CF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9"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25">
        <item x="21"/>
        <item x="23"/>
        <item x="6"/>
        <item x="1"/>
        <item x="8"/>
        <item x="14"/>
        <item x="19"/>
        <item x="2"/>
        <item x="3"/>
        <item x="15"/>
        <item x="0"/>
        <item x="18"/>
        <item x="5"/>
        <item x="13"/>
        <item x="22"/>
        <item x="4"/>
        <item x="9"/>
        <item x="16"/>
        <item x="10"/>
        <item x="11"/>
        <item x="17"/>
        <item x="12"/>
        <item x="7"/>
        <item x="20"/>
        <item t="default"/>
      </items>
    </pivotField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GPA" fld="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H130"/>
  <sheetViews>
    <sheetView tabSelected="1" zoomScaleNormal="100" workbookViewId="0">
      <selection activeCell="J12" sqref="J12"/>
    </sheetView>
  </sheetViews>
  <sheetFormatPr defaultRowHeight="12.75" outlineLevelRow="2" x14ac:dyDescent="0.2"/>
  <cols>
    <col min="1" max="1" width="24.5703125" style="1" customWidth="1"/>
    <col min="2" max="3" width="16.140625" customWidth="1"/>
    <col min="4" max="4" width="12" style="1" customWidth="1"/>
    <col min="5" max="5" width="17.140625" style="1" customWidth="1"/>
    <col min="6" max="6" width="24.7109375" style="1" customWidth="1"/>
    <col min="7" max="7" width="15.140625" style="3" customWidth="1"/>
    <col min="8" max="8" width="16.7109375" customWidth="1"/>
  </cols>
  <sheetData>
    <row r="1" spans="1:8" x14ac:dyDescent="0.2">
      <c r="A1" s="2" t="s">
        <v>133</v>
      </c>
      <c r="B1" s="2" t="s">
        <v>34</v>
      </c>
      <c r="C1" s="2" t="s">
        <v>35</v>
      </c>
      <c r="D1" s="2" t="s">
        <v>0</v>
      </c>
      <c r="E1" s="2" t="s">
        <v>1</v>
      </c>
      <c r="F1" s="2" t="s">
        <v>4</v>
      </c>
      <c r="G1" s="17" t="s">
        <v>168</v>
      </c>
      <c r="H1" s="16" t="s">
        <v>195</v>
      </c>
    </row>
    <row r="2" spans="1:8" hidden="1" outlineLevel="2" x14ac:dyDescent="0.2">
      <c r="A2" s="10">
        <v>28</v>
      </c>
      <c r="B2" s="11" t="s">
        <v>89</v>
      </c>
      <c r="C2" s="11" t="s">
        <v>90</v>
      </c>
      <c r="D2" s="9">
        <v>3</v>
      </c>
      <c r="E2" s="9" t="s">
        <v>23</v>
      </c>
      <c r="F2" s="9" t="s">
        <v>20</v>
      </c>
      <c r="G2" s="18">
        <v>2.2000000000000002</v>
      </c>
      <c r="H2" s="19">
        <v>17</v>
      </c>
    </row>
    <row r="3" spans="1:8" hidden="1" outlineLevel="2" x14ac:dyDescent="0.2">
      <c r="A3" s="10">
        <v>35</v>
      </c>
      <c r="B3" s="11" t="s">
        <v>45</v>
      </c>
      <c r="C3" s="11" t="s">
        <v>46</v>
      </c>
      <c r="D3" s="9">
        <v>2</v>
      </c>
      <c r="E3" s="9" t="s">
        <v>19</v>
      </c>
      <c r="F3" s="9" t="s">
        <v>20</v>
      </c>
      <c r="G3" s="18">
        <v>2.2000000000000002</v>
      </c>
      <c r="H3" s="19">
        <v>16</v>
      </c>
    </row>
    <row r="4" spans="1:8" outlineLevel="1" collapsed="1" x14ac:dyDescent="0.2">
      <c r="A4" s="10"/>
      <c r="B4" s="11"/>
      <c r="C4" s="11"/>
      <c r="D4" s="9"/>
      <c r="E4" s="9"/>
      <c r="F4" s="26" t="s">
        <v>202</v>
      </c>
      <c r="G4" s="18">
        <f>SUBTOTAL(1,G2:G3)</f>
        <v>2.2000000000000002</v>
      </c>
      <c r="H4" s="19"/>
    </row>
    <row r="5" spans="1:8" hidden="1" outlineLevel="2" x14ac:dyDescent="0.2">
      <c r="A5" s="10">
        <v>22</v>
      </c>
      <c r="B5" s="11" t="s">
        <v>71</v>
      </c>
      <c r="C5" s="11" t="s">
        <v>72</v>
      </c>
      <c r="D5" s="9">
        <v>3</v>
      </c>
      <c r="E5" s="9" t="s">
        <v>18</v>
      </c>
      <c r="F5" s="9" t="s">
        <v>14</v>
      </c>
      <c r="G5" s="18">
        <v>3.98</v>
      </c>
      <c r="H5" s="19">
        <v>18</v>
      </c>
    </row>
    <row r="6" spans="1:8" hidden="1" outlineLevel="2" x14ac:dyDescent="0.2">
      <c r="A6" s="10">
        <v>33</v>
      </c>
      <c r="B6" s="12" t="s">
        <v>53</v>
      </c>
      <c r="C6" s="12" t="s">
        <v>188</v>
      </c>
      <c r="D6" s="9">
        <v>4</v>
      </c>
      <c r="E6" s="13" t="s">
        <v>11</v>
      </c>
      <c r="F6" s="13" t="s">
        <v>14</v>
      </c>
      <c r="G6" s="18">
        <v>3.5</v>
      </c>
      <c r="H6" s="19">
        <v>16</v>
      </c>
    </row>
    <row r="7" spans="1:8" hidden="1" outlineLevel="2" x14ac:dyDescent="0.2">
      <c r="A7" s="10">
        <v>41</v>
      </c>
      <c r="B7" s="11" t="s">
        <v>73</v>
      </c>
      <c r="C7" s="11" t="s">
        <v>74</v>
      </c>
      <c r="D7" s="9">
        <v>3</v>
      </c>
      <c r="E7" s="9" t="s">
        <v>30</v>
      </c>
      <c r="F7" s="9" t="s">
        <v>14</v>
      </c>
      <c r="G7" s="18">
        <v>2.5</v>
      </c>
      <c r="H7" s="19">
        <v>18</v>
      </c>
    </row>
    <row r="8" spans="1:8" hidden="1" outlineLevel="2" x14ac:dyDescent="0.2">
      <c r="A8" s="10">
        <v>53</v>
      </c>
      <c r="B8" s="11" t="s">
        <v>38</v>
      </c>
      <c r="C8" s="11" t="s">
        <v>39</v>
      </c>
      <c r="D8" s="9">
        <v>3</v>
      </c>
      <c r="E8" s="9" t="s">
        <v>7</v>
      </c>
      <c r="F8" s="9" t="s">
        <v>14</v>
      </c>
      <c r="G8" s="18">
        <v>3.3</v>
      </c>
      <c r="H8" s="19">
        <v>18</v>
      </c>
    </row>
    <row r="9" spans="1:8" hidden="1" outlineLevel="2" x14ac:dyDescent="0.2">
      <c r="A9" s="10">
        <v>66</v>
      </c>
      <c r="B9" s="11" t="s">
        <v>91</v>
      </c>
      <c r="C9" s="11" t="s">
        <v>92</v>
      </c>
      <c r="D9" s="9">
        <v>2</v>
      </c>
      <c r="E9" s="9" t="s">
        <v>18</v>
      </c>
      <c r="F9" s="9" t="s">
        <v>14</v>
      </c>
      <c r="G9" s="18">
        <v>1.5</v>
      </c>
      <c r="H9" s="19">
        <v>17</v>
      </c>
    </row>
    <row r="10" spans="1:8" hidden="1" outlineLevel="2" x14ac:dyDescent="0.2">
      <c r="A10" s="10">
        <v>69</v>
      </c>
      <c r="B10" s="11" t="s">
        <v>164</v>
      </c>
      <c r="C10" s="11" t="s">
        <v>165</v>
      </c>
      <c r="D10" s="9">
        <v>3</v>
      </c>
      <c r="E10" s="9" t="s">
        <v>118</v>
      </c>
      <c r="F10" s="9" t="s">
        <v>14</v>
      </c>
      <c r="G10" s="18">
        <v>3.5</v>
      </c>
      <c r="H10" s="19">
        <v>14</v>
      </c>
    </row>
    <row r="11" spans="1:8" hidden="1" outlineLevel="2" x14ac:dyDescent="0.2">
      <c r="A11" s="10">
        <v>75</v>
      </c>
      <c r="B11" s="11" t="s">
        <v>77</v>
      </c>
      <c r="C11" s="11" t="s">
        <v>78</v>
      </c>
      <c r="D11" s="9">
        <v>4</v>
      </c>
      <c r="E11" s="9" t="s">
        <v>11</v>
      </c>
      <c r="F11" s="9" t="s">
        <v>14</v>
      </c>
      <c r="G11" s="18">
        <v>4</v>
      </c>
      <c r="H11" s="19">
        <v>17</v>
      </c>
    </row>
    <row r="12" spans="1:8" outlineLevel="1" collapsed="1" x14ac:dyDescent="0.2">
      <c r="A12" s="10"/>
      <c r="B12" s="11"/>
      <c r="C12" s="11"/>
      <c r="D12" s="9"/>
      <c r="E12" s="9"/>
      <c r="F12" s="26" t="s">
        <v>203</v>
      </c>
      <c r="G12" s="18">
        <f>SUBTOTAL(1,G5:G11)</f>
        <v>3.1828571428571428</v>
      </c>
      <c r="H12" s="19"/>
    </row>
    <row r="13" spans="1:8" hidden="1" outlineLevel="2" x14ac:dyDescent="0.2">
      <c r="A13" s="10">
        <v>45</v>
      </c>
      <c r="B13" s="12" t="s">
        <v>81</v>
      </c>
      <c r="C13" s="12" t="s">
        <v>155</v>
      </c>
      <c r="D13" s="9">
        <v>2</v>
      </c>
      <c r="E13" s="13" t="s">
        <v>32</v>
      </c>
      <c r="F13" s="13" t="s">
        <v>27</v>
      </c>
      <c r="G13" s="18">
        <v>2.5</v>
      </c>
      <c r="H13" s="19">
        <v>17</v>
      </c>
    </row>
    <row r="14" spans="1:8" hidden="1" outlineLevel="2" x14ac:dyDescent="0.2">
      <c r="A14" s="10">
        <v>46</v>
      </c>
      <c r="B14" s="11" t="s">
        <v>36</v>
      </c>
      <c r="C14" s="11" t="s">
        <v>37</v>
      </c>
      <c r="D14" s="9">
        <v>1</v>
      </c>
      <c r="E14" s="9" t="s">
        <v>7</v>
      </c>
      <c r="F14" s="9" t="s">
        <v>27</v>
      </c>
      <c r="G14" s="18">
        <v>1.2</v>
      </c>
      <c r="H14" s="19">
        <v>12</v>
      </c>
    </row>
    <row r="15" spans="1:8" outlineLevel="1" collapsed="1" x14ac:dyDescent="0.2">
      <c r="A15" s="10"/>
      <c r="B15" s="11"/>
      <c r="C15" s="11"/>
      <c r="D15" s="9"/>
      <c r="E15" s="9"/>
      <c r="F15" s="26" t="s">
        <v>204</v>
      </c>
      <c r="G15" s="18">
        <f>SUBTOTAL(1,G13:G14)</f>
        <v>1.85</v>
      </c>
      <c r="H15" s="19"/>
    </row>
    <row r="16" spans="1:8" hidden="1" outlineLevel="2" x14ac:dyDescent="0.2">
      <c r="A16" s="10">
        <v>9</v>
      </c>
      <c r="B16" s="12" t="s">
        <v>140</v>
      </c>
      <c r="C16" s="12" t="s">
        <v>141</v>
      </c>
      <c r="D16" s="9">
        <v>1</v>
      </c>
      <c r="E16" s="13" t="s">
        <v>11</v>
      </c>
      <c r="F16" s="13" t="s">
        <v>120</v>
      </c>
      <c r="G16" s="18">
        <v>4</v>
      </c>
      <c r="H16" s="19">
        <v>12</v>
      </c>
    </row>
    <row r="17" spans="1:8" hidden="1" outlineLevel="2" x14ac:dyDescent="0.2">
      <c r="A17" s="10">
        <v>31</v>
      </c>
      <c r="B17" s="12" t="s">
        <v>142</v>
      </c>
      <c r="C17" s="12" t="s">
        <v>143</v>
      </c>
      <c r="D17" s="9">
        <v>4</v>
      </c>
      <c r="E17" s="13" t="s">
        <v>7</v>
      </c>
      <c r="F17" s="13" t="s">
        <v>120</v>
      </c>
      <c r="G17" s="18">
        <v>4</v>
      </c>
      <c r="H17" s="19">
        <v>16</v>
      </c>
    </row>
    <row r="18" spans="1:8" hidden="1" outlineLevel="2" x14ac:dyDescent="0.2">
      <c r="A18" s="10">
        <v>36</v>
      </c>
      <c r="B18" s="12" t="s">
        <v>144</v>
      </c>
      <c r="C18" s="12" t="s">
        <v>145</v>
      </c>
      <c r="D18" s="9">
        <v>1</v>
      </c>
      <c r="E18" s="13" t="s">
        <v>146</v>
      </c>
      <c r="F18" s="13" t="s">
        <v>120</v>
      </c>
      <c r="G18" s="18">
        <v>4</v>
      </c>
      <c r="H18" s="19">
        <v>15</v>
      </c>
    </row>
    <row r="19" spans="1:8" hidden="1" outlineLevel="2" x14ac:dyDescent="0.2">
      <c r="A19" s="10">
        <v>44</v>
      </c>
      <c r="B19" s="12" t="s">
        <v>157</v>
      </c>
      <c r="C19" s="12" t="s">
        <v>158</v>
      </c>
      <c r="D19" s="9">
        <v>3</v>
      </c>
      <c r="E19" s="13" t="s">
        <v>118</v>
      </c>
      <c r="F19" s="13" t="s">
        <v>120</v>
      </c>
      <c r="G19" s="18">
        <v>4</v>
      </c>
      <c r="H19" s="19">
        <v>18</v>
      </c>
    </row>
    <row r="20" spans="1:8" hidden="1" outlineLevel="2" x14ac:dyDescent="0.2">
      <c r="A20" s="10">
        <v>59</v>
      </c>
      <c r="B20" s="11" t="s">
        <v>125</v>
      </c>
      <c r="C20" s="11" t="s">
        <v>126</v>
      </c>
      <c r="D20" s="9">
        <v>4</v>
      </c>
      <c r="E20" s="9" t="s">
        <v>18</v>
      </c>
      <c r="F20" s="9" t="s">
        <v>120</v>
      </c>
      <c r="G20" s="18">
        <v>4</v>
      </c>
      <c r="H20" s="19">
        <v>14</v>
      </c>
    </row>
    <row r="21" spans="1:8" hidden="1" outlineLevel="2" x14ac:dyDescent="0.2">
      <c r="A21" s="10">
        <v>62</v>
      </c>
      <c r="B21" s="11" t="s">
        <v>121</v>
      </c>
      <c r="C21" s="11" t="s">
        <v>122</v>
      </c>
      <c r="D21" s="9">
        <v>2</v>
      </c>
      <c r="E21" s="9" t="s">
        <v>11</v>
      </c>
      <c r="F21" s="9" t="s">
        <v>120</v>
      </c>
      <c r="G21" s="18">
        <v>3</v>
      </c>
      <c r="H21" s="19">
        <v>12</v>
      </c>
    </row>
    <row r="22" spans="1:8" hidden="1" outlineLevel="2" x14ac:dyDescent="0.2">
      <c r="A22" s="10">
        <v>64</v>
      </c>
      <c r="B22" s="11" t="s">
        <v>123</v>
      </c>
      <c r="C22" s="11" t="s">
        <v>124</v>
      </c>
      <c r="D22" s="9">
        <v>2</v>
      </c>
      <c r="E22" s="9" t="s">
        <v>7</v>
      </c>
      <c r="F22" s="9" t="s">
        <v>120</v>
      </c>
      <c r="G22" s="18">
        <v>3.3</v>
      </c>
      <c r="H22" s="19">
        <v>13</v>
      </c>
    </row>
    <row r="23" spans="1:8" hidden="1" outlineLevel="2" x14ac:dyDescent="0.2">
      <c r="A23" s="10">
        <v>74</v>
      </c>
      <c r="B23" s="11" t="s">
        <v>119</v>
      </c>
      <c r="C23" s="11" t="s">
        <v>61</v>
      </c>
      <c r="D23" s="9">
        <v>1</v>
      </c>
      <c r="E23" s="9" t="s">
        <v>15</v>
      </c>
      <c r="F23" s="9" t="s">
        <v>120</v>
      </c>
      <c r="G23" s="18">
        <v>3</v>
      </c>
      <c r="H23" s="19">
        <v>12</v>
      </c>
    </row>
    <row r="24" spans="1:8" outlineLevel="1" collapsed="1" x14ac:dyDescent="0.2">
      <c r="A24" s="10"/>
      <c r="B24" s="11"/>
      <c r="C24" s="11"/>
      <c r="D24" s="9"/>
      <c r="E24" s="9"/>
      <c r="F24" s="26" t="s">
        <v>205</v>
      </c>
      <c r="G24" s="18">
        <f>SUBTOTAL(1,G16:G23)</f>
        <v>3.6625000000000001</v>
      </c>
      <c r="H24" s="19"/>
    </row>
    <row r="25" spans="1:8" hidden="1" outlineLevel="2" x14ac:dyDescent="0.2">
      <c r="A25" s="10">
        <v>11</v>
      </c>
      <c r="B25" s="12" t="s">
        <v>180</v>
      </c>
      <c r="C25" s="12" t="s">
        <v>181</v>
      </c>
      <c r="D25" s="9">
        <v>4</v>
      </c>
      <c r="E25" s="13" t="s">
        <v>182</v>
      </c>
      <c r="F25" s="13" t="s">
        <v>29</v>
      </c>
      <c r="G25" s="18">
        <v>3.5</v>
      </c>
      <c r="H25" s="19">
        <v>13</v>
      </c>
    </row>
    <row r="26" spans="1:8" hidden="1" outlineLevel="2" x14ac:dyDescent="0.2">
      <c r="A26" s="10">
        <v>15</v>
      </c>
      <c r="B26" s="11" t="s">
        <v>40</v>
      </c>
      <c r="C26" s="11" t="s">
        <v>41</v>
      </c>
      <c r="D26" s="9">
        <v>4</v>
      </c>
      <c r="E26" s="9" t="s">
        <v>11</v>
      </c>
      <c r="F26" s="9" t="s">
        <v>29</v>
      </c>
      <c r="G26" s="18">
        <v>4</v>
      </c>
      <c r="H26" s="19">
        <v>13</v>
      </c>
    </row>
    <row r="27" spans="1:8" hidden="1" outlineLevel="2" x14ac:dyDescent="0.2">
      <c r="A27" s="10">
        <v>38</v>
      </c>
      <c r="B27" s="11" t="s">
        <v>62</v>
      </c>
      <c r="C27" s="11" t="s">
        <v>111</v>
      </c>
      <c r="D27" s="9">
        <v>2</v>
      </c>
      <c r="E27" s="9" t="s">
        <v>11</v>
      </c>
      <c r="F27" s="9" t="s">
        <v>29</v>
      </c>
      <c r="G27" s="18">
        <v>1.9</v>
      </c>
      <c r="H27" s="19">
        <v>15</v>
      </c>
    </row>
    <row r="28" spans="1:8" hidden="1" outlineLevel="2" x14ac:dyDescent="0.2">
      <c r="A28" s="10">
        <v>58</v>
      </c>
      <c r="B28" s="11" t="s">
        <v>162</v>
      </c>
      <c r="C28" s="11" t="s">
        <v>163</v>
      </c>
      <c r="D28" s="9">
        <v>2</v>
      </c>
      <c r="E28" s="9" t="s">
        <v>118</v>
      </c>
      <c r="F28" s="9" t="s">
        <v>29</v>
      </c>
      <c r="G28" s="18">
        <v>3</v>
      </c>
      <c r="H28" s="19">
        <v>18</v>
      </c>
    </row>
    <row r="29" spans="1:8" hidden="1" outlineLevel="2" x14ac:dyDescent="0.2">
      <c r="A29" s="10">
        <v>63</v>
      </c>
      <c r="B29" s="12" t="s">
        <v>67</v>
      </c>
      <c r="C29" s="12" t="s">
        <v>156</v>
      </c>
      <c r="D29" s="9">
        <v>3</v>
      </c>
      <c r="E29" s="13" t="s">
        <v>31</v>
      </c>
      <c r="F29" s="13" t="s">
        <v>29</v>
      </c>
      <c r="G29" s="18">
        <v>3</v>
      </c>
      <c r="H29" s="19">
        <v>17</v>
      </c>
    </row>
    <row r="30" spans="1:8" hidden="1" outlineLevel="2" x14ac:dyDescent="0.2">
      <c r="A30" s="10">
        <v>79</v>
      </c>
      <c r="B30" s="11" t="s">
        <v>192</v>
      </c>
      <c r="C30" s="11" t="s">
        <v>193</v>
      </c>
      <c r="D30" s="9">
        <v>3</v>
      </c>
      <c r="E30" s="9" t="s">
        <v>194</v>
      </c>
      <c r="F30" s="9" t="s">
        <v>29</v>
      </c>
      <c r="G30" s="18">
        <v>3.8</v>
      </c>
      <c r="H30" s="19">
        <v>17</v>
      </c>
    </row>
    <row r="31" spans="1:8" outlineLevel="1" collapsed="1" x14ac:dyDescent="0.2">
      <c r="A31" s="10"/>
      <c r="B31" s="11"/>
      <c r="C31" s="11"/>
      <c r="D31" s="9"/>
      <c r="E31" s="9"/>
      <c r="F31" s="26" t="s">
        <v>206</v>
      </c>
      <c r="G31" s="18">
        <f>SUBTOTAL(1,G25:G30)</f>
        <v>3.1999999999999997</v>
      </c>
      <c r="H31" s="19"/>
    </row>
    <row r="32" spans="1:8" hidden="1" outlineLevel="2" x14ac:dyDescent="0.2">
      <c r="A32" s="20">
        <v>80</v>
      </c>
      <c r="B32" s="21" t="s">
        <v>199</v>
      </c>
      <c r="C32" s="21" t="s">
        <v>200</v>
      </c>
      <c r="D32" s="21">
        <v>4</v>
      </c>
      <c r="E32" s="21" t="s">
        <v>11</v>
      </c>
      <c r="F32" s="22" t="s">
        <v>201</v>
      </c>
      <c r="G32" s="23">
        <v>3.34</v>
      </c>
      <c r="H32" s="25">
        <v>12</v>
      </c>
    </row>
    <row r="33" spans="1:8" outlineLevel="1" collapsed="1" x14ac:dyDescent="0.2">
      <c r="A33" s="20"/>
      <c r="B33" s="21"/>
      <c r="C33" s="21"/>
      <c r="D33" s="21"/>
      <c r="E33" s="21"/>
      <c r="F33" s="22" t="s">
        <v>207</v>
      </c>
      <c r="G33" s="23">
        <f>SUBTOTAL(1,G32:G32)</f>
        <v>3.34</v>
      </c>
      <c r="H33" s="25"/>
    </row>
    <row r="34" spans="1:8" hidden="1" outlineLevel="2" x14ac:dyDescent="0.2">
      <c r="A34" s="10">
        <v>57</v>
      </c>
      <c r="B34" s="11" t="s">
        <v>97</v>
      </c>
      <c r="C34" s="11" t="s">
        <v>112</v>
      </c>
      <c r="D34" s="9">
        <v>2</v>
      </c>
      <c r="E34" s="9" t="s">
        <v>9</v>
      </c>
      <c r="F34" s="9" t="s">
        <v>28</v>
      </c>
      <c r="G34" s="18">
        <v>3.5</v>
      </c>
      <c r="H34" s="19">
        <v>16</v>
      </c>
    </row>
    <row r="35" spans="1:8" outlineLevel="1" collapsed="1" x14ac:dyDescent="0.2">
      <c r="A35" s="10"/>
      <c r="B35" s="11"/>
      <c r="C35" s="11"/>
      <c r="D35" s="9"/>
      <c r="E35" s="9"/>
      <c r="F35" s="26" t="s">
        <v>208</v>
      </c>
      <c r="G35" s="18">
        <f>SUBTOTAL(1,G34:G34)</f>
        <v>3.5</v>
      </c>
      <c r="H35" s="19"/>
    </row>
    <row r="36" spans="1:8" outlineLevel="2" x14ac:dyDescent="0.2">
      <c r="A36" s="10">
        <v>6</v>
      </c>
      <c r="B36" s="11" t="s">
        <v>56</v>
      </c>
      <c r="C36" s="11" t="s">
        <v>57</v>
      </c>
      <c r="D36" s="9">
        <v>4</v>
      </c>
      <c r="E36" s="9" t="s">
        <v>18</v>
      </c>
      <c r="F36" s="9" t="s">
        <v>17</v>
      </c>
      <c r="G36" s="18">
        <v>3.99</v>
      </c>
      <c r="H36" s="19">
        <v>15</v>
      </c>
    </row>
    <row r="37" spans="1:8" outlineLevel="2" x14ac:dyDescent="0.2">
      <c r="A37" s="10">
        <v>24</v>
      </c>
      <c r="B37" s="12" t="s">
        <v>183</v>
      </c>
      <c r="C37" s="12" t="s">
        <v>184</v>
      </c>
      <c r="D37" s="9">
        <v>2</v>
      </c>
      <c r="E37" s="13" t="s">
        <v>185</v>
      </c>
      <c r="F37" s="13" t="s">
        <v>17</v>
      </c>
      <c r="G37" s="18">
        <v>3.6</v>
      </c>
      <c r="H37" s="19">
        <v>16</v>
      </c>
    </row>
    <row r="38" spans="1:8" outlineLevel="2" x14ac:dyDescent="0.2">
      <c r="A38" s="10">
        <v>27</v>
      </c>
      <c r="B38" s="11" t="s">
        <v>85</v>
      </c>
      <c r="C38" s="11" t="s">
        <v>86</v>
      </c>
      <c r="D38" s="9">
        <v>3</v>
      </c>
      <c r="E38" s="9" t="s">
        <v>15</v>
      </c>
      <c r="F38" s="9" t="s">
        <v>17</v>
      </c>
      <c r="G38" s="18">
        <v>3</v>
      </c>
      <c r="H38" s="19">
        <v>15</v>
      </c>
    </row>
    <row r="39" spans="1:8" outlineLevel="2" x14ac:dyDescent="0.2">
      <c r="A39" s="10">
        <v>37</v>
      </c>
      <c r="B39" s="12" t="s">
        <v>186</v>
      </c>
      <c r="C39" s="12" t="s">
        <v>187</v>
      </c>
      <c r="D39" s="9">
        <v>3</v>
      </c>
      <c r="E39" s="13" t="s">
        <v>11</v>
      </c>
      <c r="F39" s="13" t="s">
        <v>17</v>
      </c>
      <c r="G39" s="18">
        <v>3.3</v>
      </c>
      <c r="H39" s="19">
        <v>13</v>
      </c>
    </row>
    <row r="40" spans="1:8" outlineLevel="2" x14ac:dyDescent="0.2">
      <c r="A40" s="10">
        <v>52</v>
      </c>
      <c r="B40" s="14" t="s">
        <v>47</v>
      </c>
      <c r="C40" s="14" t="s">
        <v>127</v>
      </c>
      <c r="D40" s="9">
        <v>3</v>
      </c>
      <c r="E40" s="9" t="s">
        <v>11</v>
      </c>
      <c r="F40" s="15" t="s">
        <v>17</v>
      </c>
      <c r="G40" s="18">
        <v>3</v>
      </c>
      <c r="H40" s="19">
        <v>16</v>
      </c>
    </row>
    <row r="41" spans="1:8" outlineLevel="1" x14ac:dyDescent="0.2">
      <c r="A41" s="10"/>
      <c r="B41" s="14"/>
      <c r="C41" s="14"/>
      <c r="D41" s="9"/>
      <c r="E41" s="9"/>
      <c r="F41" s="26" t="s">
        <v>209</v>
      </c>
      <c r="G41" s="18">
        <f>SUBTOTAL(1,G36:G40)</f>
        <v>3.3780000000000001</v>
      </c>
      <c r="H41" s="19"/>
    </row>
    <row r="42" spans="1:8" outlineLevel="2" x14ac:dyDescent="0.2">
      <c r="A42" s="10">
        <v>16</v>
      </c>
      <c r="B42" s="12" t="s">
        <v>130</v>
      </c>
      <c r="C42" s="12" t="s">
        <v>131</v>
      </c>
      <c r="D42" s="9">
        <v>1</v>
      </c>
      <c r="E42" s="13" t="s">
        <v>3</v>
      </c>
      <c r="F42" s="13" t="s">
        <v>132</v>
      </c>
      <c r="G42" s="18">
        <v>4</v>
      </c>
      <c r="H42" s="19">
        <v>16</v>
      </c>
    </row>
    <row r="43" spans="1:8" outlineLevel="1" x14ac:dyDescent="0.2">
      <c r="A43" s="10"/>
      <c r="B43" s="12"/>
      <c r="C43" s="12"/>
      <c r="D43" s="9"/>
      <c r="E43" s="13"/>
      <c r="F43" s="26" t="s">
        <v>210</v>
      </c>
      <c r="G43" s="18">
        <f>SUBTOTAL(1,G42:G42)</f>
        <v>4</v>
      </c>
      <c r="H43" s="19"/>
    </row>
    <row r="44" spans="1:8" outlineLevel="2" x14ac:dyDescent="0.2">
      <c r="A44" s="10">
        <v>18</v>
      </c>
      <c r="B44" s="11" t="s">
        <v>116</v>
      </c>
      <c r="C44" s="11" t="s">
        <v>117</v>
      </c>
      <c r="D44" s="9">
        <v>4</v>
      </c>
      <c r="E44" s="9" t="s">
        <v>118</v>
      </c>
      <c r="F44" s="9" t="s">
        <v>115</v>
      </c>
      <c r="G44" s="18">
        <v>3.5</v>
      </c>
      <c r="H44" s="19">
        <v>13</v>
      </c>
    </row>
    <row r="45" spans="1:8" outlineLevel="2" x14ac:dyDescent="0.2">
      <c r="A45" s="10">
        <v>19</v>
      </c>
      <c r="B45" s="12" t="s">
        <v>150</v>
      </c>
      <c r="C45" s="12" t="s">
        <v>149</v>
      </c>
      <c r="D45" s="9">
        <v>3</v>
      </c>
      <c r="E45" s="13" t="s">
        <v>118</v>
      </c>
      <c r="F45" s="13" t="s">
        <v>115</v>
      </c>
      <c r="G45" s="18">
        <v>3</v>
      </c>
      <c r="H45" s="19">
        <v>18</v>
      </c>
    </row>
    <row r="46" spans="1:8" outlineLevel="2" x14ac:dyDescent="0.2">
      <c r="A46" s="10">
        <v>20</v>
      </c>
      <c r="B46" s="12" t="s">
        <v>134</v>
      </c>
      <c r="C46" s="12" t="s">
        <v>135</v>
      </c>
      <c r="D46" s="9">
        <v>1</v>
      </c>
      <c r="E46" s="13" t="s">
        <v>11</v>
      </c>
      <c r="F46" s="13" t="s">
        <v>115</v>
      </c>
      <c r="G46" s="18">
        <v>2.5</v>
      </c>
      <c r="H46" s="19">
        <v>14</v>
      </c>
    </row>
    <row r="47" spans="1:8" outlineLevel="2" x14ac:dyDescent="0.2">
      <c r="A47" s="10">
        <v>21</v>
      </c>
      <c r="B47" s="11" t="s">
        <v>160</v>
      </c>
      <c r="C47" s="11" t="s">
        <v>161</v>
      </c>
      <c r="D47" s="9">
        <v>1</v>
      </c>
      <c r="E47" s="9" t="s">
        <v>138</v>
      </c>
      <c r="F47" s="9" t="s">
        <v>115</v>
      </c>
      <c r="G47" s="18">
        <v>3</v>
      </c>
      <c r="H47" s="19">
        <v>17</v>
      </c>
    </row>
    <row r="48" spans="1:8" outlineLevel="2" x14ac:dyDescent="0.2">
      <c r="A48" s="10">
        <v>39</v>
      </c>
      <c r="B48" s="11" t="s">
        <v>128</v>
      </c>
      <c r="C48" s="11" t="s">
        <v>174</v>
      </c>
      <c r="D48" s="9">
        <v>1</v>
      </c>
      <c r="E48" s="9" t="s">
        <v>33</v>
      </c>
      <c r="F48" s="9" t="s">
        <v>115</v>
      </c>
      <c r="G48" s="18">
        <v>3</v>
      </c>
      <c r="H48" s="19">
        <v>16</v>
      </c>
    </row>
    <row r="49" spans="1:8" outlineLevel="2" x14ac:dyDescent="0.2">
      <c r="A49" s="10">
        <v>47</v>
      </c>
      <c r="B49" s="11" t="s">
        <v>172</v>
      </c>
      <c r="C49" s="11" t="s">
        <v>173</v>
      </c>
      <c r="D49" s="9">
        <v>1</v>
      </c>
      <c r="E49" s="9" t="s">
        <v>171</v>
      </c>
      <c r="F49" s="9" t="s">
        <v>115</v>
      </c>
      <c r="G49" s="18">
        <v>3.75</v>
      </c>
      <c r="H49" s="19">
        <v>17</v>
      </c>
    </row>
    <row r="50" spans="1:8" outlineLevel="2" x14ac:dyDescent="0.2">
      <c r="A50" s="10">
        <v>51</v>
      </c>
      <c r="B50" s="11" t="s">
        <v>113</v>
      </c>
      <c r="C50" s="11" t="s">
        <v>114</v>
      </c>
      <c r="D50" s="9">
        <v>1</v>
      </c>
      <c r="E50" s="9" t="s">
        <v>11</v>
      </c>
      <c r="F50" s="9" t="s">
        <v>115</v>
      </c>
      <c r="G50" s="18">
        <v>4</v>
      </c>
      <c r="H50" s="19">
        <v>14</v>
      </c>
    </row>
    <row r="51" spans="1:8" outlineLevel="2" x14ac:dyDescent="0.2">
      <c r="A51" s="10">
        <v>77</v>
      </c>
      <c r="B51" s="12" t="s">
        <v>136</v>
      </c>
      <c r="C51" s="12" t="s">
        <v>137</v>
      </c>
      <c r="D51" s="9">
        <v>1</v>
      </c>
      <c r="E51" s="13" t="s">
        <v>138</v>
      </c>
      <c r="F51" s="13" t="s">
        <v>115</v>
      </c>
      <c r="G51" s="18">
        <v>4</v>
      </c>
      <c r="H51" s="19">
        <v>14</v>
      </c>
    </row>
    <row r="52" spans="1:8" outlineLevel="1" x14ac:dyDescent="0.2">
      <c r="A52" s="10"/>
      <c r="B52" s="12"/>
      <c r="C52" s="12"/>
      <c r="D52" s="9"/>
      <c r="E52" s="13"/>
      <c r="F52" s="26" t="s">
        <v>211</v>
      </c>
      <c r="G52" s="18">
        <f>SUBTOTAL(1,G44:G51)</f>
        <v>3.34375</v>
      </c>
      <c r="H52" s="19"/>
    </row>
    <row r="53" spans="1:8" outlineLevel="2" x14ac:dyDescent="0.2">
      <c r="A53" s="10">
        <v>32</v>
      </c>
      <c r="B53" s="11" t="s">
        <v>97</v>
      </c>
      <c r="C53" s="11" t="s">
        <v>101</v>
      </c>
      <c r="D53" s="9">
        <v>3</v>
      </c>
      <c r="E53" s="9" t="s">
        <v>9</v>
      </c>
      <c r="F53" s="9" t="s">
        <v>26</v>
      </c>
      <c r="G53" s="18">
        <v>3.3</v>
      </c>
      <c r="H53" s="19">
        <v>16</v>
      </c>
    </row>
    <row r="54" spans="1:8" outlineLevel="2" x14ac:dyDescent="0.2">
      <c r="A54" s="10">
        <v>40</v>
      </c>
      <c r="B54" s="11" t="s">
        <v>69</v>
      </c>
      <c r="C54" s="11" t="s">
        <v>70</v>
      </c>
      <c r="D54" s="9">
        <v>2</v>
      </c>
      <c r="E54" s="9" t="s">
        <v>25</v>
      </c>
      <c r="F54" s="9" t="s">
        <v>26</v>
      </c>
      <c r="G54" s="18">
        <v>3.5</v>
      </c>
      <c r="H54" s="19">
        <v>14</v>
      </c>
    </row>
    <row r="55" spans="1:8" outlineLevel="1" x14ac:dyDescent="0.2">
      <c r="A55" s="10"/>
      <c r="B55" s="11"/>
      <c r="C55" s="11"/>
      <c r="D55" s="9"/>
      <c r="E55" s="9"/>
      <c r="F55" s="26" t="s">
        <v>212</v>
      </c>
      <c r="G55" s="18">
        <f>SUBTOTAL(1,G53:G54)</f>
        <v>3.4</v>
      </c>
      <c r="H55" s="19"/>
    </row>
    <row r="56" spans="1:8" outlineLevel="2" x14ac:dyDescent="0.2">
      <c r="A56" s="10">
        <v>42</v>
      </c>
      <c r="B56" s="11" t="s">
        <v>79</v>
      </c>
      <c r="C56" s="11" t="s">
        <v>80</v>
      </c>
      <c r="D56" s="9">
        <v>2</v>
      </c>
      <c r="E56" s="9" t="s">
        <v>7</v>
      </c>
      <c r="F56" s="9" t="s">
        <v>13</v>
      </c>
      <c r="G56" s="18">
        <v>1.1000000000000001</v>
      </c>
      <c r="H56" s="19">
        <v>16</v>
      </c>
    </row>
    <row r="57" spans="1:8" outlineLevel="2" x14ac:dyDescent="0.2">
      <c r="A57" s="10">
        <v>50</v>
      </c>
      <c r="B57" s="11" t="s">
        <v>104</v>
      </c>
      <c r="C57" s="11" t="s">
        <v>105</v>
      </c>
      <c r="D57" s="9">
        <v>1</v>
      </c>
      <c r="E57" s="9" t="s">
        <v>11</v>
      </c>
      <c r="F57" s="9" t="s">
        <v>13</v>
      </c>
      <c r="G57" s="18">
        <v>3.8</v>
      </c>
      <c r="H57" s="19">
        <v>15</v>
      </c>
    </row>
    <row r="58" spans="1:8" outlineLevel="2" x14ac:dyDescent="0.2">
      <c r="A58" s="10">
        <v>54</v>
      </c>
      <c r="B58" s="11" t="s">
        <v>58</v>
      </c>
      <c r="C58" s="11" t="s">
        <v>59</v>
      </c>
      <c r="D58" s="9">
        <v>2</v>
      </c>
      <c r="E58" s="9" t="s">
        <v>18</v>
      </c>
      <c r="F58" s="9" t="s">
        <v>13</v>
      </c>
      <c r="G58" s="18">
        <v>1</v>
      </c>
      <c r="H58" s="19">
        <v>14</v>
      </c>
    </row>
    <row r="59" spans="1:8" outlineLevel="1" x14ac:dyDescent="0.2">
      <c r="A59" s="10"/>
      <c r="B59" s="11"/>
      <c r="C59" s="11"/>
      <c r="D59" s="9"/>
      <c r="E59" s="9"/>
      <c r="F59" s="26" t="s">
        <v>213</v>
      </c>
      <c r="G59" s="18">
        <f>SUBTOTAL(1,G56:G58)</f>
        <v>1.9666666666666668</v>
      </c>
      <c r="H59" s="19"/>
    </row>
    <row r="60" spans="1:8" outlineLevel="2" x14ac:dyDescent="0.2">
      <c r="A60" s="10">
        <v>23</v>
      </c>
      <c r="B60" s="12" t="s">
        <v>153</v>
      </c>
      <c r="C60" s="12" t="s">
        <v>154</v>
      </c>
      <c r="D60" s="9">
        <v>1</v>
      </c>
      <c r="E60" s="13" t="s">
        <v>3</v>
      </c>
      <c r="F60" s="13" t="s">
        <v>12</v>
      </c>
      <c r="G60" s="18">
        <v>4</v>
      </c>
      <c r="H60" s="19">
        <v>17</v>
      </c>
    </row>
    <row r="61" spans="1:8" outlineLevel="2" x14ac:dyDescent="0.2">
      <c r="A61" s="10">
        <v>25</v>
      </c>
      <c r="B61" s="12" t="s">
        <v>178</v>
      </c>
      <c r="C61" s="12" t="s">
        <v>179</v>
      </c>
      <c r="D61" s="9">
        <v>2</v>
      </c>
      <c r="E61" s="13" t="s">
        <v>11</v>
      </c>
      <c r="F61" s="13" t="s">
        <v>12</v>
      </c>
      <c r="G61" s="18">
        <v>3</v>
      </c>
      <c r="H61" s="19">
        <v>18</v>
      </c>
    </row>
    <row r="62" spans="1:8" outlineLevel="2" x14ac:dyDescent="0.2">
      <c r="A62" s="10">
        <v>26</v>
      </c>
      <c r="B62" s="11" t="s">
        <v>83</v>
      </c>
      <c r="C62" s="11" t="s">
        <v>84</v>
      </c>
      <c r="D62" s="9">
        <v>3</v>
      </c>
      <c r="E62" s="9" t="s">
        <v>18</v>
      </c>
      <c r="F62" s="9" t="s">
        <v>12</v>
      </c>
      <c r="G62" s="18">
        <v>2.2000000000000002</v>
      </c>
      <c r="H62" s="19">
        <v>14</v>
      </c>
    </row>
    <row r="63" spans="1:8" outlineLevel="2" x14ac:dyDescent="0.2">
      <c r="A63" s="10">
        <v>30</v>
      </c>
      <c r="B63" s="11" t="s">
        <v>97</v>
      </c>
      <c r="C63" s="11" t="s">
        <v>99</v>
      </c>
      <c r="D63" s="9">
        <v>3</v>
      </c>
      <c r="E63" s="9" t="s">
        <v>9</v>
      </c>
      <c r="F63" s="9" t="s">
        <v>12</v>
      </c>
      <c r="G63" s="18">
        <v>1.3</v>
      </c>
      <c r="H63" s="19">
        <v>15</v>
      </c>
    </row>
    <row r="64" spans="1:8" outlineLevel="2" x14ac:dyDescent="0.2">
      <c r="A64" s="10">
        <v>43</v>
      </c>
      <c r="B64" s="11" t="s">
        <v>139</v>
      </c>
      <c r="C64" s="11" t="s">
        <v>159</v>
      </c>
      <c r="D64" s="9">
        <v>1</v>
      </c>
      <c r="E64" s="9" t="s">
        <v>138</v>
      </c>
      <c r="F64" s="9" t="s">
        <v>12</v>
      </c>
      <c r="G64" s="18">
        <v>3.7</v>
      </c>
      <c r="H64" s="19">
        <v>16</v>
      </c>
    </row>
    <row r="65" spans="1:8" outlineLevel="2" x14ac:dyDescent="0.2">
      <c r="A65" s="10">
        <v>49</v>
      </c>
      <c r="B65" s="11" t="s">
        <v>102</v>
      </c>
      <c r="C65" s="11" t="s">
        <v>103</v>
      </c>
      <c r="D65" s="9">
        <v>1</v>
      </c>
      <c r="E65" s="9" t="s">
        <v>11</v>
      </c>
      <c r="F65" s="9" t="s">
        <v>12</v>
      </c>
      <c r="G65" s="18">
        <v>0.25</v>
      </c>
      <c r="H65" s="19">
        <v>17</v>
      </c>
    </row>
    <row r="66" spans="1:8" outlineLevel="2" x14ac:dyDescent="0.2">
      <c r="A66" s="10">
        <v>61</v>
      </c>
      <c r="B66" s="12" t="s">
        <v>151</v>
      </c>
      <c r="C66" s="12" t="s">
        <v>152</v>
      </c>
      <c r="D66" s="9">
        <v>2</v>
      </c>
      <c r="E66" s="13" t="s">
        <v>31</v>
      </c>
      <c r="F66" s="13" t="s">
        <v>12</v>
      </c>
      <c r="G66" s="18">
        <v>3.5</v>
      </c>
      <c r="H66" s="19">
        <v>12</v>
      </c>
    </row>
    <row r="67" spans="1:8" outlineLevel="2" x14ac:dyDescent="0.2">
      <c r="A67" s="10">
        <v>65</v>
      </c>
      <c r="B67" s="12" t="s">
        <v>169</v>
      </c>
      <c r="C67" s="12" t="s">
        <v>170</v>
      </c>
      <c r="D67" s="9">
        <v>3</v>
      </c>
      <c r="E67" s="13" t="s">
        <v>171</v>
      </c>
      <c r="F67" s="13" t="s">
        <v>12</v>
      </c>
      <c r="G67" s="18">
        <v>4</v>
      </c>
      <c r="H67" s="19">
        <v>14</v>
      </c>
    </row>
    <row r="68" spans="1:8" outlineLevel="2" x14ac:dyDescent="0.2">
      <c r="A68" s="10">
        <v>70</v>
      </c>
      <c r="B68" s="11" t="s">
        <v>109</v>
      </c>
      <c r="C68" s="11" t="s">
        <v>110</v>
      </c>
      <c r="D68" s="9">
        <v>2</v>
      </c>
      <c r="E68" s="9" t="s">
        <v>3</v>
      </c>
      <c r="F68" s="9" t="s">
        <v>12</v>
      </c>
      <c r="G68" s="18">
        <v>4</v>
      </c>
      <c r="H68" s="19">
        <v>14</v>
      </c>
    </row>
    <row r="69" spans="1:8" outlineLevel="2" x14ac:dyDescent="0.2">
      <c r="A69" s="10">
        <v>76</v>
      </c>
      <c r="B69" s="12" t="s">
        <v>128</v>
      </c>
      <c r="C69" s="12" t="s">
        <v>129</v>
      </c>
      <c r="D69" s="9">
        <v>1</v>
      </c>
      <c r="E69" s="13" t="s">
        <v>30</v>
      </c>
      <c r="F69" s="13" t="s">
        <v>12</v>
      </c>
      <c r="G69" s="18">
        <v>4</v>
      </c>
      <c r="H69" s="19">
        <v>18</v>
      </c>
    </row>
    <row r="70" spans="1:8" outlineLevel="1" x14ac:dyDescent="0.2">
      <c r="A70" s="10"/>
      <c r="B70" s="12"/>
      <c r="C70" s="12"/>
      <c r="D70" s="9"/>
      <c r="E70" s="13"/>
      <c r="F70" s="26" t="s">
        <v>214</v>
      </c>
      <c r="G70" s="18">
        <f>SUBTOTAL(1,G60:G69)</f>
        <v>2.9950000000000001</v>
      </c>
      <c r="H70" s="19"/>
    </row>
    <row r="71" spans="1:8" outlineLevel="2" x14ac:dyDescent="0.2">
      <c r="A71" s="10">
        <v>7</v>
      </c>
      <c r="B71" s="11" t="s">
        <v>60</v>
      </c>
      <c r="C71" s="11" t="s">
        <v>177</v>
      </c>
      <c r="D71" s="9">
        <v>4</v>
      </c>
      <c r="E71" s="9" t="s">
        <v>2</v>
      </c>
      <c r="F71" s="9" t="s">
        <v>6</v>
      </c>
      <c r="G71" s="18">
        <v>3</v>
      </c>
      <c r="H71" s="19">
        <v>17</v>
      </c>
    </row>
    <row r="72" spans="1:8" outlineLevel="2" x14ac:dyDescent="0.2">
      <c r="A72" s="10">
        <v>14</v>
      </c>
      <c r="B72" s="11" t="s">
        <v>107</v>
      </c>
      <c r="C72" s="11" t="s">
        <v>108</v>
      </c>
      <c r="D72" s="9">
        <v>4</v>
      </c>
      <c r="E72" s="9" t="s">
        <v>3</v>
      </c>
      <c r="F72" s="9" t="s">
        <v>6</v>
      </c>
      <c r="G72" s="18">
        <v>3</v>
      </c>
      <c r="H72" s="19">
        <v>13</v>
      </c>
    </row>
    <row r="73" spans="1:8" outlineLevel="1" x14ac:dyDescent="0.2">
      <c r="A73" s="10"/>
      <c r="B73" s="11"/>
      <c r="C73" s="11"/>
      <c r="D73" s="9"/>
      <c r="E73" s="9"/>
      <c r="F73" s="26" t="s">
        <v>215</v>
      </c>
      <c r="G73" s="18">
        <f>SUBTOTAL(1,G71:G72)</f>
        <v>3</v>
      </c>
      <c r="H73" s="19"/>
    </row>
    <row r="74" spans="1:8" outlineLevel="2" x14ac:dyDescent="0.2">
      <c r="A74" s="10">
        <v>1</v>
      </c>
      <c r="B74" s="11" t="s">
        <v>93</v>
      </c>
      <c r="C74" s="11" t="s">
        <v>94</v>
      </c>
      <c r="D74" s="9">
        <v>4</v>
      </c>
      <c r="E74" s="9" t="s">
        <v>21</v>
      </c>
      <c r="F74" s="9" t="s">
        <v>22</v>
      </c>
      <c r="G74" s="18">
        <v>3.9</v>
      </c>
      <c r="H74" s="19">
        <v>16</v>
      </c>
    </row>
    <row r="75" spans="1:8" outlineLevel="2" x14ac:dyDescent="0.2">
      <c r="A75" s="10">
        <v>4</v>
      </c>
      <c r="B75" s="11" t="s">
        <v>51</v>
      </c>
      <c r="C75" s="11" t="s">
        <v>52</v>
      </c>
      <c r="D75" s="9">
        <v>4</v>
      </c>
      <c r="E75" s="9" t="s">
        <v>19</v>
      </c>
      <c r="F75" s="9" t="s">
        <v>22</v>
      </c>
      <c r="G75" s="18">
        <v>1</v>
      </c>
      <c r="H75" s="19">
        <v>18</v>
      </c>
    </row>
    <row r="76" spans="1:8" outlineLevel="2" x14ac:dyDescent="0.2">
      <c r="A76" s="10">
        <v>34</v>
      </c>
      <c r="B76" s="12" t="s">
        <v>176</v>
      </c>
      <c r="C76" s="12" t="s">
        <v>175</v>
      </c>
      <c r="D76" s="9">
        <v>4</v>
      </c>
      <c r="E76" s="13" t="s">
        <v>11</v>
      </c>
      <c r="F76" s="13" t="s">
        <v>22</v>
      </c>
      <c r="G76" s="18">
        <v>3.99</v>
      </c>
      <c r="H76" s="19">
        <v>17</v>
      </c>
    </row>
    <row r="77" spans="1:8" outlineLevel="2" x14ac:dyDescent="0.2">
      <c r="A77" s="10">
        <v>72</v>
      </c>
      <c r="B77" s="11" t="s">
        <v>75</v>
      </c>
      <c r="C77" s="11" t="s">
        <v>76</v>
      </c>
      <c r="D77" s="9">
        <v>3</v>
      </c>
      <c r="E77" s="9" t="s">
        <v>11</v>
      </c>
      <c r="F77" s="9" t="s">
        <v>22</v>
      </c>
      <c r="G77" s="18">
        <v>3.8</v>
      </c>
      <c r="H77" s="19">
        <v>12</v>
      </c>
    </row>
    <row r="78" spans="1:8" outlineLevel="2" x14ac:dyDescent="0.2">
      <c r="A78" s="10">
        <v>78</v>
      </c>
      <c r="B78" s="11" t="s">
        <v>189</v>
      </c>
      <c r="C78" s="11" t="s">
        <v>190</v>
      </c>
      <c r="D78" s="9">
        <v>2</v>
      </c>
      <c r="E78" s="9" t="s">
        <v>191</v>
      </c>
      <c r="F78" s="9" t="s">
        <v>22</v>
      </c>
      <c r="G78" s="18">
        <v>3.99</v>
      </c>
      <c r="H78" s="19">
        <v>14</v>
      </c>
    </row>
    <row r="79" spans="1:8" outlineLevel="1" x14ac:dyDescent="0.2">
      <c r="A79" s="10"/>
      <c r="B79" s="11"/>
      <c r="C79" s="11"/>
      <c r="D79" s="9"/>
      <c r="E79" s="9"/>
      <c r="F79" s="26" t="s">
        <v>216</v>
      </c>
      <c r="G79" s="18">
        <f>SUBTOTAL(1,G74:G78)</f>
        <v>3.3359999999999999</v>
      </c>
      <c r="H79" s="19"/>
    </row>
    <row r="80" spans="1:8" outlineLevel="2" x14ac:dyDescent="0.2">
      <c r="A80" s="10">
        <v>2</v>
      </c>
      <c r="B80" s="11" t="s">
        <v>104</v>
      </c>
      <c r="C80" s="11" t="s">
        <v>106</v>
      </c>
      <c r="D80" s="9">
        <v>4</v>
      </c>
      <c r="E80" s="9" t="s">
        <v>11</v>
      </c>
      <c r="F80" s="9" t="s">
        <v>16</v>
      </c>
      <c r="G80" s="18">
        <v>2.8</v>
      </c>
      <c r="H80" s="19">
        <v>17</v>
      </c>
    </row>
    <row r="81" spans="1:8" outlineLevel="2" x14ac:dyDescent="0.2">
      <c r="A81" s="10">
        <v>8</v>
      </c>
      <c r="B81" s="11" t="s">
        <v>64</v>
      </c>
      <c r="C81" s="11" t="s">
        <v>65</v>
      </c>
      <c r="D81" s="9">
        <v>4</v>
      </c>
      <c r="E81" s="9" t="s">
        <v>15</v>
      </c>
      <c r="F81" s="9" t="s">
        <v>16</v>
      </c>
      <c r="G81" s="18">
        <v>3.52</v>
      </c>
      <c r="H81" s="19">
        <v>14</v>
      </c>
    </row>
    <row r="82" spans="1:8" outlineLevel="2" x14ac:dyDescent="0.2">
      <c r="A82" s="10">
        <v>10</v>
      </c>
      <c r="B82" s="12" t="s">
        <v>147</v>
      </c>
      <c r="C82" s="12" t="s">
        <v>148</v>
      </c>
      <c r="D82" s="9">
        <v>1</v>
      </c>
      <c r="E82" s="13" t="s">
        <v>18</v>
      </c>
      <c r="F82" s="13" t="s">
        <v>16</v>
      </c>
      <c r="G82" s="18">
        <v>4</v>
      </c>
      <c r="H82" s="19">
        <v>15</v>
      </c>
    </row>
    <row r="83" spans="1:8" outlineLevel="2" x14ac:dyDescent="0.2">
      <c r="A83" s="10">
        <v>56</v>
      </c>
      <c r="B83" s="11" t="s">
        <v>64</v>
      </c>
      <c r="C83" s="11" t="s">
        <v>66</v>
      </c>
      <c r="D83" s="9">
        <v>4</v>
      </c>
      <c r="E83" s="9" t="s">
        <v>15</v>
      </c>
      <c r="F83" s="9" t="s">
        <v>16</v>
      </c>
      <c r="G83" s="18">
        <v>3.51</v>
      </c>
      <c r="H83" s="19">
        <v>14</v>
      </c>
    </row>
    <row r="84" spans="1:8" outlineLevel="1" x14ac:dyDescent="0.2">
      <c r="A84" s="10"/>
      <c r="B84" s="11"/>
      <c r="C84" s="11"/>
      <c r="D84" s="9"/>
      <c r="E84" s="9"/>
      <c r="F84" s="26" t="s">
        <v>217</v>
      </c>
      <c r="G84" s="18">
        <f>SUBTOTAL(1,G80:G83)</f>
        <v>3.4575</v>
      </c>
      <c r="H84" s="19"/>
    </row>
    <row r="85" spans="1:8" outlineLevel="2" x14ac:dyDescent="0.2">
      <c r="A85" s="10">
        <v>12</v>
      </c>
      <c r="B85" s="11" t="s">
        <v>81</v>
      </c>
      <c r="C85" s="11" t="s">
        <v>82</v>
      </c>
      <c r="D85" s="9">
        <v>4</v>
      </c>
      <c r="E85" s="9" t="s">
        <v>32</v>
      </c>
      <c r="F85" s="9" t="s">
        <v>5</v>
      </c>
      <c r="G85" s="18">
        <v>2.9</v>
      </c>
      <c r="H85" s="19">
        <v>16</v>
      </c>
    </row>
    <row r="86" spans="1:8" outlineLevel="2" x14ac:dyDescent="0.2">
      <c r="A86" s="10">
        <v>13</v>
      </c>
      <c r="B86" s="11" t="s">
        <v>87</v>
      </c>
      <c r="C86" s="11" t="s">
        <v>88</v>
      </c>
      <c r="D86" s="9">
        <v>4</v>
      </c>
      <c r="E86" s="9" t="s">
        <v>24</v>
      </c>
      <c r="F86" s="9" t="s">
        <v>5</v>
      </c>
      <c r="G86" s="18">
        <v>3.2</v>
      </c>
      <c r="H86" s="19">
        <v>12</v>
      </c>
    </row>
    <row r="87" spans="1:8" outlineLevel="2" x14ac:dyDescent="0.2">
      <c r="A87" s="10">
        <v>67</v>
      </c>
      <c r="B87" s="11" t="s">
        <v>67</v>
      </c>
      <c r="C87" s="11" t="s">
        <v>68</v>
      </c>
      <c r="D87" s="9">
        <v>3</v>
      </c>
      <c r="E87" s="9" t="s">
        <v>31</v>
      </c>
      <c r="F87" s="9" t="s">
        <v>5</v>
      </c>
      <c r="G87" s="18">
        <v>2.8</v>
      </c>
      <c r="H87" s="19">
        <v>18</v>
      </c>
    </row>
    <row r="88" spans="1:8" outlineLevel="2" x14ac:dyDescent="0.2">
      <c r="A88" s="10">
        <v>68</v>
      </c>
      <c r="B88" s="11" t="s">
        <v>54</v>
      </c>
      <c r="C88" s="11" t="s">
        <v>55</v>
      </c>
      <c r="D88" s="9">
        <v>2</v>
      </c>
      <c r="E88" s="9" t="s">
        <v>3</v>
      </c>
      <c r="F88" s="9" t="s">
        <v>5</v>
      </c>
      <c r="G88" s="18">
        <v>4</v>
      </c>
      <c r="H88" s="19">
        <v>12</v>
      </c>
    </row>
    <row r="89" spans="1:8" outlineLevel="1" x14ac:dyDescent="0.2">
      <c r="A89" s="10"/>
      <c r="B89" s="11"/>
      <c r="C89" s="11"/>
      <c r="D89" s="9"/>
      <c r="E89" s="9"/>
      <c r="F89" s="26" t="s">
        <v>218</v>
      </c>
      <c r="G89" s="18">
        <f>SUBTOTAL(1,G85:G88)</f>
        <v>3.2249999999999996</v>
      </c>
      <c r="H89" s="19"/>
    </row>
    <row r="90" spans="1:8" outlineLevel="2" x14ac:dyDescent="0.2">
      <c r="A90" s="10">
        <v>17</v>
      </c>
      <c r="B90" s="11" t="s">
        <v>97</v>
      </c>
      <c r="C90" s="11" t="s">
        <v>100</v>
      </c>
      <c r="D90" s="9">
        <v>4</v>
      </c>
      <c r="E90" s="9" t="s">
        <v>9</v>
      </c>
      <c r="F90" s="9" t="s">
        <v>8</v>
      </c>
      <c r="G90" s="18">
        <v>4</v>
      </c>
      <c r="H90" s="19">
        <v>15</v>
      </c>
    </row>
    <row r="91" spans="1:8" outlineLevel="2" x14ac:dyDescent="0.2">
      <c r="A91" s="10">
        <v>29</v>
      </c>
      <c r="B91" s="11" t="s">
        <v>95</v>
      </c>
      <c r="C91" s="11" t="s">
        <v>96</v>
      </c>
      <c r="D91" s="9">
        <v>3</v>
      </c>
      <c r="E91" s="9" t="s">
        <v>7</v>
      </c>
      <c r="F91" s="9" t="s">
        <v>8</v>
      </c>
      <c r="G91" s="18">
        <v>2.8</v>
      </c>
      <c r="H91" s="19">
        <v>13</v>
      </c>
    </row>
    <row r="92" spans="1:8" outlineLevel="2" x14ac:dyDescent="0.2">
      <c r="A92" s="10">
        <v>55</v>
      </c>
      <c r="B92" s="11" t="s">
        <v>42</v>
      </c>
      <c r="C92" s="11" t="s">
        <v>43</v>
      </c>
      <c r="D92" s="9">
        <v>2</v>
      </c>
      <c r="E92" s="9" t="s">
        <v>11</v>
      </c>
      <c r="F92" s="9" t="s">
        <v>8</v>
      </c>
      <c r="G92" s="18">
        <v>2.2200000000000002</v>
      </c>
      <c r="H92" s="19">
        <v>13</v>
      </c>
    </row>
    <row r="93" spans="1:8" outlineLevel="2" x14ac:dyDescent="0.2">
      <c r="A93" s="10">
        <v>73</v>
      </c>
      <c r="B93" s="11" t="s">
        <v>42</v>
      </c>
      <c r="C93" s="11" t="s">
        <v>44</v>
      </c>
      <c r="D93" s="9">
        <v>2</v>
      </c>
      <c r="E93" s="9" t="s">
        <v>11</v>
      </c>
      <c r="F93" s="9" t="s">
        <v>8</v>
      </c>
      <c r="G93" s="18">
        <v>2.2200000000000002</v>
      </c>
      <c r="H93" s="19">
        <v>13</v>
      </c>
    </row>
    <row r="94" spans="1:8" outlineLevel="1" x14ac:dyDescent="0.2">
      <c r="A94" s="10"/>
      <c r="B94" s="11"/>
      <c r="C94" s="11"/>
      <c r="D94" s="9"/>
      <c r="E94" s="9"/>
      <c r="F94" s="26" t="s">
        <v>219</v>
      </c>
      <c r="G94" s="18">
        <f>SUBTOTAL(1,G90:G93)</f>
        <v>2.81</v>
      </c>
      <c r="H94" s="19"/>
    </row>
    <row r="95" spans="1:8" outlineLevel="2" x14ac:dyDescent="0.2">
      <c r="A95" s="10">
        <v>3</v>
      </c>
      <c r="B95" s="11" t="s">
        <v>49</v>
      </c>
      <c r="C95" s="11" t="s">
        <v>50</v>
      </c>
      <c r="D95" s="9">
        <v>4</v>
      </c>
      <c r="E95" s="9" t="s">
        <v>3</v>
      </c>
      <c r="F95" s="9" t="s">
        <v>10</v>
      </c>
      <c r="G95" s="18">
        <v>4</v>
      </c>
      <c r="H95" s="19">
        <v>15</v>
      </c>
    </row>
    <row r="96" spans="1:8" outlineLevel="2" x14ac:dyDescent="0.2">
      <c r="A96" s="10">
        <v>5</v>
      </c>
      <c r="B96" s="11" t="s">
        <v>63</v>
      </c>
      <c r="C96" s="11" t="s">
        <v>53</v>
      </c>
      <c r="D96" s="9">
        <v>2</v>
      </c>
      <c r="E96" s="9" t="s">
        <v>7</v>
      </c>
      <c r="F96" s="9" t="s">
        <v>10</v>
      </c>
      <c r="G96" s="18">
        <v>2.0099999999999998</v>
      </c>
      <c r="H96" s="19">
        <v>15</v>
      </c>
    </row>
    <row r="97" spans="1:8" outlineLevel="2" x14ac:dyDescent="0.2">
      <c r="A97" s="10">
        <v>48</v>
      </c>
      <c r="B97" s="11" t="s">
        <v>97</v>
      </c>
      <c r="C97" s="11" t="s">
        <v>98</v>
      </c>
      <c r="D97" s="9">
        <v>1</v>
      </c>
      <c r="E97" s="9" t="s">
        <v>9</v>
      </c>
      <c r="F97" s="9" t="s">
        <v>10</v>
      </c>
      <c r="G97" s="18">
        <v>1</v>
      </c>
      <c r="H97" s="19">
        <v>17</v>
      </c>
    </row>
    <row r="98" spans="1:8" outlineLevel="2" x14ac:dyDescent="0.2">
      <c r="A98" s="10">
        <v>60</v>
      </c>
      <c r="B98" s="11" t="s">
        <v>47</v>
      </c>
      <c r="C98" s="11" t="s">
        <v>48</v>
      </c>
      <c r="D98" s="9">
        <v>4</v>
      </c>
      <c r="E98" s="9" t="s">
        <v>11</v>
      </c>
      <c r="F98" s="9" t="s">
        <v>10</v>
      </c>
      <c r="G98" s="18">
        <v>3</v>
      </c>
      <c r="H98" s="19">
        <v>16</v>
      </c>
    </row>
    <row r="99" spans="1:8" outlineLevel="2" x14ac:dyDescent="0.2">
      <c r="A99" s="10">
        <v>71</v>
      </c>
      <c r="B99" s="11" t="s">
        <v>167</v>
      </c>
      <c r="C99" s="11" t="s">
        <v>166</v>
      </c>
      <c r="D99" s="9">
        <v>4</v>
      </c>
      <c r="E99" s="9" t="s">
        <v>11</v>
      </c>
      <c r="F99" s="9" t="s">
        <v>10</v>
      </c>
      <c r="G99" s="24">
        <v>4</v>
      </c>
      <c r="H99" s="19">
        <v>16</v>
      </c>
    </row>
    <row r="100" spans="1:8" outlineLevel="1" x14ac:dyDescent="0.2">
      <c r="A100" s="5"/>
      <c r="F100" s="28" t="s">
        <v>220</v>
      </c>
      <c r="G100" s="3">
        <f>SUBTOTAL(1,G95:G99)</f>
        <v>2.802</v>
      </c>
      <c r="H100" s="27"/>
    </row>
    <row r="101" spans="1:8" x14ac:dyDescent="0.2">
      <c r="A101" s="5"/>
      <c r="F101" s="28" t="s">
        <v>221</v>
      </c>
      <c r="G101" s="3">
        <f>SUBTOTAL(1,G2:G99)</f>
        <v>3.1333750000000005</v>
      </c>
      <c r="H101" s="27"/>
    </row>
    <row r="102" spans="1:8" x14ac:dyDescent="0.2">
      <c r="A102" s="5"/>
    </row>
    <row r="103" spans="1:8" x14ac:dyDescent="0.2">
      <c r="A103"/>
      <c r="D103"/>
      <c r="E103"/>
      <c r="F103" s="7"/>
      <c r="G103" s="6"/>
    </row>
    <row r="104" spans="1:8" x14ac:dyDescent="0.2">
      <c r="A104"/>
      <c r="D104" s="4"/>
      <c r="E104"/>
      <c r="F104" s="8"/>
      <c r="G104" s="6"/>
    </row>
    <row r="105" spans="1:8" x14ac:dyDescent="0.2">
      <c r="B105" s="1"/>
      <c r="D105" s="4"/>
      <c r="E105"/>
      <c r="F105" s="8"/>
      <c r="G105"/>
    </row>
    <row r="106" spans="1:8" x14ac:dyDescent="0.2">
      <c r="B106" s="1"/>
      <c r="D106" s="4"/>
      <c r="E106"/>
      <c r="F106" s="8"/>
      <c r="G106"/>
    </row>
    <row r="107" spans="1:8" x14ac:dyDescent="0.2">
      <c r="B107" s="1"/>
      <c r="D107" s="4"/>
      <c r="E107"/>
      <c r="F107" s="8"/>
      <c r="G107"/>
    </row>
    <row r="108" spans="1:8" x14ac:dyDescent="0.2">
      <c r="B108" s="1"/>
      <c r="D108" s="4"/>
      <c r="E108"/>
      <c r="F108" s="8"/>
      <c r="G108"/>
    </row>
    <row r="109" spans="1:8" x14ac:dyDescent="0.2">
      <c r="B109" s="1"/>
      <c r="D109" s="4"/>
      <c r="E109"/>
      <c r="F109" s="8"/>
      <c r="G109"/>
    </row>
    <row r="110" spans="1:8" x14ac:dyDescent="0.2">
      <c r="B110" s="1"/>
      <c r="D110" s="4"/>
      <c r="E110"/>
      <c r="F110"/>
      <c r="G110"/>
    </row>
    <row r="111" spans="1:8" x14ac:dyDescent="0.2">
      <c r="B111" s="1"/>
      <c r="D111" s="4"/>
      <c r="E111"/>
      <c r="F111"/>
      <c r="G111"/>
    </row>
    <row r="112" spans="1:8" x14ac:dyDescent="0.2">
      <c r="B112" s="1"/>
      <c r="D112" s="4"/>
      <c r="E112"/>
      <c r="F112"/>
      <c r="G112"/>
    </row>
    <row r="113" spans="2:7" x14ac:dyDescent="0.2">
      <c r="B113" s="1"/>
      <c r="D113" s="4"/>
      <c r="E113"/>
      <c r="F113"/>
      <c r="G113"/>
    </row>
    <row r="114" spans="2:7" x14ac:dyDescent="0.2">
      <c r="B114" s="1"/>
      <c r="D114" s="4"/>
      <c r="E114"/>
      <c r="F114"/>
      <c r="G114"/>
    </row>
    <row r="115" spans="2:7" x14ac:dyDescent="0.2">
      <c r="B115" s="1"/>
      <c r="D115" s="4"/>
      <c r="E115"/>
      <c r="F115"/>
      <c r="G115"/>
    </row>
    <row r="116" spans="2:7" x14ac:dyDescent="0.2">
      <c r="B116" s="1"/>
      <c r="D116" s="4"/>
      <c r="E116"/>
      <c r="F116"/>
      <c r="G116"/>
    </row>
    <row r="117" spans="2:7" x14ac:dyDescent="0.2">
      <c r="B117" s="1"/>
      <c r="D117" s="4"/>
      <c r="E117"/>
      <c r="F117"/>
      <c r="G117"/>
    </row>
    <row r="118" spans="2:7" x14ac:dyDescent="0.2">
      <c r="B118" s="1"/>
      <c r="D118" s="4"/>
      <c r="E118"/>
      <c r="F118"/>
      <c r="G118"/>
    </row>
    <row r="119" spans="2:7" x14ac:dyDescent="0.2">
      <c r="B119" s="1"/>
      <c r="D119" s="4"/>
      <c r="E119"/>
      <c r="F119"/>
      <c r="G119"/>
    </row>
    <row r="120" spans="2:7" x14ac:dyDescent="0.2">
      <c r="B120" s="1"/>
      <c r="D120" s="4"/>
      <c r="E120"/>
      <c r="F120"/>
      <c r="G120"/>
    </row>
    <row r="121" spans="2:7" x14ac:dyDescent="0.2">
      <c r="B121" s="1"/>
      <c r="D121" s="4"/>
      <c r="E121"/>
      <c r="F121"/>
      <c r="G121"/>
    </row>
    <row r="122" spans="2:7" x14ac:dyDescent="0.2">
      <c r="B122" s="1"/>
      <c r="D122" s="4"/>
      <c r="E122"/>
      <c r="F122"/>
      <c r="G122"/>
    </row>
    <row r="123" spans="2:7" x14ac:dyDescent="0.2">
      <c r="B123" s="1"/>
      <c r="D123" s="4"/>
      <c r="E123"/>
      <c r="F123"/>
      <c r="G123"/>
    </row>
    <row r="124" spans="2:7" x14ac:dyDescent="0.2">
      <c r="B124" s="1"/>
      <c r="D124" s="4"/>
      <c r="E124"/>
      <c r="F124"/>
      <c r="G124"/>
    </row>
    <row r="125" spans="2:7" x14ac:dyDescent="0.2">
      <c r="B125" s="1"/>
      <c r="D125" s="4"/>
      <c r="E125"/>
      <c r="F125"/>
      <c r="G125"/>
    </row>
    <row r="126" spans="2:7" x14ac:dyDescent="0.2">
      <c r="B126" s="1"/>
      <c r="D126"/>
      <c r="E126"/>
      <c r="F126"/>
      <c r="G126"/>
    </row>
    <row r="127" spans="2:7" x14ac:dyDescent="0.2">
      <c r="B127" s="1"/>
      <c r="D127"/>
      <c r="E127"/>
      <c r="F127" s="8"/>
      <c r="G127"/>
    </row>
    <row r="128" spans="2:7" x14ac:dyDescent="0.2">
      <c r="B128" s="1"/>
    </row>
    <row r="129" spans="2:2" x14ac:dyDescent="0.2">
      <c r="B129" s="1"/>
    </row>
    <row r="130" spans="2:2" x14ac:dyDescent="0.2">
      <c r="B130" s="1"/>
    </row>
  </sheetData>
  <sortState xmlns:xlrd2="http://schemas.microsoft.com/office/spreadsheetml/2017/richdata2" ref="A2:H99">
    <sortCondition ref="F2:F99"/>
  </sortState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A05A-FBB4-45E1-944C-348C9C9160EE}">
  <sheetPr>
    <tabColor rgb="FFFF0066"/>
  </sheetPr>
  <dimension ref="A3:B6"/>
  <sheetViews>
    <sheetView workbookViewId="0">
      <selection activeCell="A3" sqref="A3"/>
    </sheetView>
  </sheetViews>
  <sheetFormatPr defaultRowHeight="12.75" x14ac:dyDescent="0.2"/>
  <cols>
    <col min="1" max="1" width="13.85546875" bestFit="1" customWidth="1"/>
    <col min="2" max="2" width="15.5703125" bestFit="1" customWidth="1"/>
  </cols>
  <sheetData>
    <row r="3" spans="1:2" x14ac:dyDescent="0.2">
      <c r="A3" s="29" t="s">
        <v>222</v>
      </c>
      <c r="B3" t="s">
        <v>224</v>
      </c>
    </row>
    <row r="4" spans="1:2" x14ac:dyDescent="0.2">
      <c r="A4" s="30" t="s">
        <v>197</v>
      </c>
      <c r="B4">
        <v>3.0686486486486486</v>
      </c>
    </row>
    <row r="5" spans="1:2" x14ac:dyDescent="0.2">
      <c r="A5" s="30" t="s">
        <v>198</v>
      </c>
      <c r="B5">
        <v>3.1890697674418602</v>
      </c>
    </row>
    <row r="6" spans="1:2" x14ac:dyDescent="0.2">
      <c r="A6" s="30" t="s">
        <v>223</v>
      </c>
      <c r="B6">
        <v>3.133375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CCE2-FE02-4B3F-8121-13F6D8E1DA66}">
  <sheetPr>
    <tabColor rgb="FFFF0066"/>
  </sheetPr>
  <dimension ref="A1:I110"/>
  <sheetViews>
    <sheetView zoomScaleNormal="100" workbookViewId="0">
      <pane ySplit="1" topLeftCell="A51" activePane="bottomLeft" state="frozen"/>
      <selection pane="bottomLeft" sqref="A1:I81"/>
    </sheetView>
  </sheetViews>
  <sheetFormatPr defaultRowHeight="12.75" x14ac:dyDescent="0.2"/>
  <cols>
    <col min="1" max="1" width="24.5703125" style="1" customWidth="1"/>
    <col min="2" max="3" width="16.140625" customWidth="1"/>
    <col min="4" max="4" width="19.28515625" bestFit="1" customWidth="1"/>
    <col min="5" max="5" width="12" style="1" customWidth="1"/>
    <col min="6" max="6" width="17.140625" style="1" customWidth="1"/>
    <col min="7" max="7" width="24.7109375" style="1" customWidth="1"/>
    <col min="8" max="8" width="15.140625" style="3" customWidth="1"/>
    <col min="9" max="9" width="16.7109375" customWidth="1"/>
  </cols>
  <sheetData>
    <row r="1" spans="1:9" x14ac:dyDescent="0.2">
      <c r="A1" s="2" t="s">
        <v>133</v>
      </c>
      <c r="B1" s="2" t="s">
        <v>34</v>
      </c>
      <c r="C1" s="2" t="s">
        <v>35</v>
      </c>
      <c r="D1" s="2" t="s">
        <v>196</v>
      </c>
      <c r="E1" s="2" t="s">
        <v>0</v>
      </c>
      <c r="F1" s="2" t="s">
        <v>1</v>
      </c>
      <c r="G1" s="2" t="s">
        <v>4</v>
      </c>
      <c r="H1" s="17" t="s">
        <v>168</v>
      </c>
      <c r="I1" s="16" t="s">
        <v>195</v>
      </c>
    </row>
    <row r="2" spans="1:9" x14ac:dyDescent="0.2">
      <c r="A2" s="10">
        <v>1</v>
      </c>
      <c r="B2" s="11" t="s">
        <v>93</v>
      </c>
      <c r="C2" s="11" t="s">
        <v>94</v>
      </c>
      <c r="D2" s="11" t="s">
        <v>197</v>
      </c>
      <c r="E2" s="9">
        <v>4</v>
      </c>
      <c r="F2" s="9" t="s">
        <v>21</v>
      </c>
      <c r="G2" s="9" t="s">
        <v>22</v>
      </c>
      <c r="H2" s="18">
        <v>3.9</v>
      </c>
      <c r="I2" s="19">
        <v>16</v>
      </c>
    </row>
    <row r="3" spans="1:9" x14ac:dyDescent="0.2">
      <c r="A3" s="10">
        <v>2</v>
      </c>
      <c r="B3" s="11" t="s">
        <v>104</v>
      </c>
      <c r="C3" s="11" t="s">
        <v>106</v>
      </c>
      <c r="D3" s="11" t="s">
        <v>197</v>
      </c>
      <c r="E3" s="9">
        <v>4</v>
      </c>
      <c r="F3" s="9" t="s">
        <v>11</v>
      </c>
      <c r="G3" s="9" t="s">
        <v>16</v>
      </c>
      <c r="H3" s="18">
        <v>2.8</v>
      </c>
      <c r="I3" s="19">
        <v>17</v>
      </c>
    </row>
    <row r="4" spans="1:9" x14ac:dyDescent="0.2">
      <c r="A4" s="10">
        <v>3</v>
      </c>
      <c r="B4" s="11" t="s">
        <v>49</v>
      </c>
      <c r="C4" s="11" t="s">
        <v>50</v>
      </c>
      <c r="D4" s="11" t="s">
        <v>198</v>
      </c>
      <c r="E4" s="9">
        <v>4</v>
      </c>
      <c r="F4" s="9" t="s">
        <v>3</v>
      </c>
      <c r="G4" s="9" t="s">
        <v>10</v>
      </c>
      <c r="H4" s="18">
        <v>4</v>
      </c>
      <c r="I4" s="19">
        <v>15</v>
      </c>
    </row>
    <row r="5" spans="1:9" x14ac:dyDescent="0.2">
      <c r="A5" s="10">
        <v>4</v>
      </c>
      <c r="B5" s="11" t="s">
        <v>51</v>
      </c>
      <c r="C5" s="11" t="s">
        <v>52</v>
      </c>
      <c r="D5" s="11" t="s">
        <v>197</v>
      </c>
      <c r="E5" s="9">
        <v>4</v>
      </c>
      <c r="F5" s="9" t="s">
        <v>19</v>
      </c>
      <c r="G5" s="9" t="s">
        <v>22</v>
      </c>
      <c r="H5" s="18">
        <v>1</v>
      </c>
      <c r="I5" s="19">
        <v>18</v>
      </c>
    </row>
    <row r="6" spans="1:9" x14ac:dyDescent="0.2">
      <c r="A6" s="10">
        <v>5</v>
      </c>
      <c r="B6" s="11" t="s">
        <v>63</v>
      </c>
      <c r="C6" s="11" t="s">
        <v>53</v>
      </c>
      <c r="D6" s="11" t="s">
        <v>197</v>
      </c>
      <c r="E6" s="9">
        <v>2</v>
      </c>
      <c r="F6" s="9" t="s">
        <v>7</v>
      </c>
      <c r="G6" s="9" t="s">
        <v>10</v>
      </c>
      <c r="H6" s="18">
        <v>2.0099999999999998</v>
      </c>
      <c r="I6" s="19">
        <v>15</v>
      </c>
    </row>
    <row r="7" spans="1:9" x14ac:dyDescent="0.2">
      <c r="A7" s="10">
        <v>6</v>
      </c>
      <c r="B7" s="11" t="s">
        <v>56</v>
      </c>
      <c r="C7" s="11" t="s">
        <v>57</v>
      </c>
      <c r="D7" s="11" t="s">
        <v>198</v>
      </c>
      <c r="E7" s="9">
        <v>4</v>
      </c>
      <c r="F7" s="9" t="s">
        <v>18</v>
      </c>
      <c r="G7" s="9" t="s">
        <v>17</v>
      </c>
      <c r="H7" s="18">
        <v>3.99</v>
      </c>
      <c r="I7" s="19">
        <v>15</v>
      </c>
    </row>
    <row r="8" spans="1:9" x14ac:dyDescent="0.2">
      <c r="A8" s="10">
        <v>7</v>
      </c>
      <c r="B8" s="11" t="s">
        <v>60</v>
      </c>
      <c r="C8" s="11" t="s">
        <v>177</v>
      </c>
      <c r="D8" s="11" t="s">
        <v>197</v>
      </c>
      <c r="E8" s="9">
        <v>4</v>
      </c>
      <c r="F8" s="9" t="s">
        <v>2</v>
      </c>
      <c r="G8" s="9" t="s">
        <v>6</v>
      </c>
      <c r="H8" s="18">
        <v>3</v>
      </c>
      <c r="I8" s="19">
        <v>17</v>
      </c>
    </row>
    <row r="9" spans="1:9" x14ac:dyDescent="0.2">
      <c r="A9" s="10">
        <v>8</v>
      </c>
      <c r="B9" s="11" t="s">
        <v>64</v>
      </c>
      <c r="C9" s="11" t="s">
        <v>65</v>
      </c>
      <c r="D9" s="11" t="s">
        <v>198</v>
      </c>
      <c r="E9" s="9">
        <v>4</v>
      </c>
      <c r="F9" s="9" t="s">
        <v>15</v>
      </c>
      <c r="G9" s="9" t="s">
        <v>16</v>
      </c>
      <c r="H9" s="18">
        <v>3.52</v>
      </c>
      <c r="I9" s="19">
        <v>14</v>
      </c>
    </row>
    <row r="10" spans="1:9" x14ac:dyDescent="0.2">
      <c r="A10" s="10">
        <v>9</v>
      </c>
      <c r="B10" s="12" t="s">
        <v>140</v>
      </c>
      <c r="C10" s="12" t="s">
        <v>141</v>
      </c>
      <c r="D10" s="11" t="s">
        <v>198</v>
      </c>
      <c r="E10" s="9">
        <v>1</v>
      </c>
      <c r="F10" s="13" t="s">
        <v>11</v>
      </c>
      <c r="G10" s="13" t="s">
        <v>120</v>
      </c>
      <c r="H10" s="18">
        <v>4</v>
      </c>
      <c r="I10" s="19">
        <v>12</v>
      </c>
    </row>
    <row r="11" spans="1:9" x14ac:dyDescent="0.2">
      <c r="A11" s="10">
        <v>10</v>
      </c>
      <c r="B11" s="12" t="s">
        <v>147</v>
      </c>
      <c r="C11" s="12" t="s">
        <v>148</v>
      </c>
      <c r="D11" s="11" t="s">
        <v>198</v>
      </c>
      <c r="E11" s="9">
        <v>1</v>
      </c>
      <c r="F11" s="13" t="s">
        <v>18</v>
      </c>
      <c r="G11" s="13" t="s">
        <v>16</v>
      </c>
      <c r="H11" s="18">
        <v>4</v>
      </c>
      <c r="I11" s="19">
        <v>15</v>
      </c>
    </row>
    <row r="12" spans="1:9" x14ac:dyDescent="0.2">
      <c r="A12" s="10">
        <v>11</v>
      </c>
      <c r="B12" s="12" t="s">
        <v>180</v>
      </c>
      <c r="C12" s="12" t="s">
        <v>181</v>
      </c>
      <c r="D12" s="11" t="s">
        <v>198</v>
      </c>
      <c r="E12" s="9">
        <v>4</v>
      </c>
      <c r="F12" s="13" t="s">
        <v>182</v>
      </c>
      <c r="G12" s="13" t="s">
        <v>29</v>
      </c>
      <c r="H12" s="18">
        <v>3.5</v>
      </c>
      <c r="I12" s="19">
        <v>13</v>
      </c>
    </row>
    <row r="13" spans="1:9" x14ac:dyDescent="0.2">
      <c r="A13" s="10">
        <v>12</v>
      </c>
      <c r="B13" s="11" t="s">
        <v>81</v>
      </c>
      <c r="C13" s="11" t="s">
        <v>82</v>
      </c>
      <c r="D13" s="11" t="s">
        <v>197</v>
      </c>
      <c r="E13" s="9">
        <v>4</v>
      </c>
      <c r="F13" s="9" t="s">
        <v>32</v>
      </c>
      <c r="G13" s="9" t="s">
        <v>5</v>
      </c>
      <c r="H13" s="18">
        <v>2.9</v>
      </c>
      <c r="I13" s="19">
        <v>16</v>
      </c>
    </row>
    <row r="14" spans="1:9" x14ac:dyDescent="0.2">
      <c r="A14" s="10">
        <v>13</v>
      </c>
      <c r="B14" s="11" t="s">
        <v>87</v>
      </c>
      <c r="C14" s="11" t="s">
        <v>88</v>
      </c>
      <c r="D14" s="11" t="s">
        <v>197</v>
      </c>
      <c r="E14" s="9">
        <v>4</v>
      </c>
      <c r="F14" s="9" t="s">
        <v>24</v>
      </c>
      <c r="G14" s="9" t="s">
        <v>5</v>
      </c>
      <c r="H14" s="18">
        <v>3.2</v>
      </c>
      <c r="I14" s="19">
        <v>12</v>
      </c>
    </row>
    <row r="15" spans="1:9" x14ac:dyDescent="0.2">
      <c r="A15" s="10">
        <v>14</v>
      </c>
      <c r="B15" s="11" t="s">
        <v>107</v>
      </c>
      <c r="C15" s="11" t="s">
        <v>108</v>
      </c>
      <c r="D15" s="11" t="s">
        <v>197</v>
      </c>
      <c r="E15" s="9">
        <v>4</v>
      </c>
      <c r="F15" s="9" t="s">
        <v>3</v>
      </c>
      <c r="G15" s="9" t="s">
        <v>6</v>
      </c>
      <c r="H15" s="18">
        <v>3</v>
      </c>
      <c r="I15" s="19">
        <v>13</v>
      </c>
    </row>
    <row r="16" spans="1:9" x14ac:dyDescent="0.2">
      <c r="A16" s="10">
        <v>15</v>
      </c>
      <c r="B16" s="11" t="s">
        <v>40</v>
      </c>
      <c r="C16" s="11" t="s">
        <v>41</v>
      </c>
      <c r="D16" s="11" t="s">
        <v>198</v>
      </c>
      <c r="E16" s="9">
        <v>4</v>
      </c>
      <c r="F16" s="9" t="s">
        <v>11</v>
      </c>
      <c r="G16" s="9" t="s">
        <v>29</v>
      </c>
      <c r="H16" s="18">
        <v>4</v>
      </c>
      <c r="I16" s="19">
        <v>13</v>
      </c>
    </row>
    <row r="17" spans="1:9" x14ac:dyDescent="0.2">
      <c r="A17" s="10">
        <v>16</v>
      </c>
      <c r="B17" s="12" t="s">
        <v>130</v>
      </c>
      <c r="C17" s="12" t="s">
        <v>131</v>
      </c>
      <c r="D17" s="11" t="s">
        <v>198</v>
      </c>
      <c r="E17" s="9">
        <v>1</v>
      </c>
      <c r="F17" s="13" t="s">
        <v>3</v>
      </c>
      <c r="G17" s="13" t="s">
        <v>132</v>
      </c>
      <c r="H17" s="18">
        <v>4</v>
      </c>
      <c r="I17" s="19">
        <v>16</v>
      </c>
    </row>
    <row r="18" spans="1:9" x14ac:dyDescent="0.2">
      <c r="A18" s="10">
        <v>17</v>
      </c>
      <c r="B18" s="11" t="s">
        <v>97</v>
      </c>
      <c r="C18" s="11" t="s">
        <v>100</v>
      </c>
      <c r="D18" s="11" t="s">
        <v>197</v>
      </c>
      <c r="E18" s="9">
        <v>4</v>
      </c>
      <c r="F18" s="9" t="s">
        <v>9</v>
      </c>
      <c r="G18" s="9" t="s">
        <v>8</v>
      </c>
      <c r="H18" s="18">
        <v>4</v>
      </c>
      <c r="I18" s="19">
        <v>15</v>
      </c>
    </row>
    <row r="19" spans="1:9" x14ac:dyDescent="0.2">
      <c r="A19" s="10">
        <v>18</v>
      </c>
      <c r="B19" s="11" t="s">
        <v>116</v>
      </c>
      <c r="C19" s="11" t="s">
        <v>117</v>
      </c>
      <c r="D19" s="11" t="s">
        <v>198</v>
      </c>
      <c r="E19" s="9">
        <v>4</v>
      </c>
      <c r="F19" s="9" t="s">
        <v>118</v>
      </c>
      <c r="G19" s="9" t="s">
        <v>115</v>
      </c>
      <c r="H19" s="18">
        <v>3.5</v>
      </c>
      <c r="I19" s="19">
        <v>13</v>
      </c>
    </row>
    <row r="20" spans="1:9" x14ac:dyDescent="0.2">
      <c r="A20" s="10">
        <v>19</v>
      </c>
      <c r="B20" s="12" t="s">
        <v>150</v>
      </c>
      <c r="C20" s="12" t="s">
        <v>149</v>
      </c>
      <c r="D20" s="11" t="s">
        <v>198</v>
      </c>
      <c r="E20" s="9">
        <v>3</v>
      </c>
      <c r="F20" s="13" t="s">
        <v>118</v>
      </c>
      <c r="G20" s="13" t="s">
        <v>115</v>
      </c>
      <c r="H20" s="18">
        <v>3</v>
      </c>
      <c r="I20" s="19">
        <v>18</v>
      </c>
    </row>
    <row r="21" spans="1:9" x14ac:dyDescent="0.2">
      <c r="A21" s="10">
        <v>20</v>
      </c>
      <c r="B21" s="12" t="s">
        <v>134</v>
      </c>
      <c r="C21" s="12" t="s">
        <v>135</v>
      </c>
      <c r="D21" s="11" t="s">
        <v>198</v>
      </c>
      <c r="E21" s="9">
        <v>1</v>
      </c>
      <c r="F21" s="13" t="s">
        <v>11</v>
      </c>
      <c r="G21" s="13" t="s">
        <v>115</v>
      </c>
      <c r="H21" s="18">
        <v>2.5</v>
      </c>
      <c r="I21" s="19">
        <v>14</v>
      </c>
    </row>
    <row r="22" spans="1:9" x14ac:dyDescent="0.2">
      <c r="A22" s="10">
        <v>21</v>
      </c>
      <c r="B22" s="11" t="s">
        <v>160</v>
      </c>
      <c r="C22" s="11" t="s">
        <v>161</v>
      </c>
      <c r="D22" s="11" t="s">
        <v>198</v>
      </c>
      <c r="E22" s="9">
        <v>1</v>
      </c>
      <c r="F22" s="9" t="s">
        <v>138</v>
      </c>
      <c r="G22" s="9" t="s">
        <v>115</v>
      </c>
      <c r="H22" s="18">
        <v>3</v>
      </c>
      <c r="I22" s="19">
        <v>17</v>
      </c>
    </row>
    <row r="23" spans="1:9" x14ac:dyDescent="0.2">
      <c r="A23" s="10">
        <v>22</v>
      </c>
      <c r="B23" s="11" t="s">
        <v>71</v>
      </c>
      <c r="C23" s="11" t="s">
        <v>72</v>
      </c>
      <c r="D23" s="11" t="s">
        <v>198</v>
      </c>
      <c r="E23" s="9">
        <v>3</v>
      </c>
      <c r="F23" s="9" t="s">
        <v>18</v>
      </c>
      <c r="G23" s="9" t="s">
        <v>14</v>
      </c>
      <c r="H23" s="18">
        <v>3.98</v>
      </c>
      <c r="I23" s="19">
        <v>18</v>
      </c>
    </row>
    <row r="24" spans="1:9" x14ac:dyDescent="0.2">
      <c r="A24" s="10">
        <v>23</v>
      </c>
      <c r="B24" s="12" t="s">
        <v>153</v>
      </c>
      <c r="C24" s="12" t="s">
        <v>154</v>
      </c>
      <c r="D24" s="11" t="s">
        <v>198</v>
      </c>
      <c r="E24" s="9">
        <v>1</v>
      </c>
      <c r="F24" s="13" t="s">
        <v>3</v>
      </c>
      <c r="G24" s="13" t="s">
        <v>12</v>
      </c>
      <c r="H24" s="18">
        <v>4</v>
      </c>
      <c r="I24" s="19">
        <v>17</v>
      </c>
    </row>
    <row r="25" spans="1:9" x14ac:dyDescent="0.2">
      <c r="A25" s="10">
        <v>24</v>
      </c>
      <c r="B25" s="12" t="s">
        <v>183</v>
      </c>
      <c r="C25" s="12" t="s">
        <v>184</v>
      </c>
      <c r="D25" s="11" t="s">
        <v>197</v>
      </c>
      <c r="E25" s="9">
        <v>2</v>
      </c>
      <c r="F25" s="13" t="s">
        <v>185</v>
      </c>
      <c r="G25" s="13" t="s">
        <v>17</v>
      </c>
      <c r="H25" s="18">
        <v>3.6</v>
      </c>
      <c r="I25" s="19">
        <v>16</v>
      </c>
    </row>
    <row r="26" spans="1:9" x14ac:dyDescent="0.2">
      <c r="A26" s="10">
        <v>25</v>
      </c>
      <c r="B26" s="12" t="s">
        <v>178</v>
      </c>
      <c r="C26" s="12" t="s">
        <v>179</v>
      </c>
      <c r="D26" s="11" t="s">
        <v>197</v>
      </c>
      <c r="E26" s="9">
        <v>2</v>
      </c>
      <c r="F26" s="13" t="s">
        <v>11</v>
      </c>
      <c r="G26" s="13" t="s">
        <v>12</v>
      </c>
      <c r="H26" s="18">
        <v>3</v>
      </c>
      <c r="I26" s="19">
        <v>18</v>
      </c>
    </row>
    <row r="27" spans="1:9" x14ac:dyDescent="0.2">
      <c r="A27" s="10">
        <v>26</v>
      </c>
      <c r="B27" s="11" t="s">
        <v>83</v>
      </c>
      <c r="C27" s="11" t="s">
        <v>84</v>
      </c>
      <c r="D27" s="11" t="s">
        <v>197</v>
      </c>
      <c r="E27" s="9">
        <v>3</v>
      </c>
      <c r="F27" s="9" t="s">
        <v>18</v>
      </c>
      <c r="G27" s="9" t="s">
        <v>12</v>
      </c>
      <c r="H27" s="18">
        <v>2.2000000000000002</v>
      </c>
      <c r="I27" s="19">
        <v>14</v>
      </c>
    </row>
    <row r="28" spans="1:9" x14ac:dyDescent="0.2">
      <c r="A28" s="10">
        <v>27</v>
      </c>
      <c r="B28" s="11" t="s">
        <v>85</v>
      </c>
      <c r="C28" s="11" t="s">
        <v>86</v>
      </c>
      <c r="D28" s="11" t="s">
        <v>198</v>
      </c>
      <c r="E28" s="9">
        <v>3</v>
      </c>
      <c r="F28" s="9" t="s">
        <v>15</v>
      </c>
      <c r="G28" s="9" t="s">
        <v>17</v>
      </c>
      <c r="H28" s="18">
        <v>3</v>
      </c>
      <c r="I28" s="19">
        <v>15</v>
      </c>
    </row>
    <row r="29" spans="1:9" x14ac:dyDescent="0.2">
      <c r="A29" s="10">
        <v>28</v>
      </c>
      <c r="B29" s="11" t="s">
        <v>89</v>
      </c>
      <c r="C29" s="11" t="s">
        <v>90</v>
      </c>
      <c r="D29" s="11" t="s">
        <v>197</v>
      </c>
      <c r="E29" s="9">
        <v>3</v>
      </c>
      <c r="F29" s="9" t="s">
        <v>23</v>
      </c>
      <c r="G29" s="9" t="s">
        <v>20</v>
      </c>
      <c r="H29" s="18">
        <v>2.2000000000000002</v>
      </c>
      <c r="I29" s="19">
        <v>17</v>
      </c>
    </row>
    <row r="30" spans="1:9" x14ac:dyDescent="0.2">
      <c r="A30" s="10">
        <v>29</v>
      </c>
      <c r="B30" s="11" t="s">
        <v>95</v>
      </c>
      <c r="C30" s="11" t="s">
        <v>96</v>
      </c>
      <c r="D30" s="11" t="s">
        <v>197</v>
      </c>
      <c r="E30" s="9">
        <v>3</v>
      </c>
      <c r="F30" s="9" t="s">
        <v>7</v>
      </c>
      <c r="G30" s="9" t="s">
        <v>8</v>
      </c>
      <c r="H30" s="18">
        <v>2.8</v>
      </c>
      <c r="I30" s="19">
        <v>13</v>
      </c>
    </row>
    <row r="31" spans="1:9" x14ac:dyDescent="0.2">
      <c r="A31" s="10">
        <v>30</v>
      </c>
      <c r="B31" s="11" t="s">
        <v>97</v>
      </c>
      <c r="C31" s="11" t="s">
        <v>99</v>
      </c>
      <c r="D31" s="11" t="s">
        <v>198</v>
      </c>
      <c r="E31" s="9">
        <v>3</v>
      </c>
      <c r="F31" s="9" t="s">
        <v>9</v>
      </c>
      <c r="G31" s="9" t="s">
        <v>12</v>
      </c>
      <c r="H31" s="18">
        <v>1.3</v>
      </c>
      <c r="I31" s="19">
        <v>15</v>
      </c>
    </row>
    <row r="32" spans="1:9" x14ac:dyDescent="0.2">
      <c r="A32" s="10">
        <v>31</v>
      </c>
      <c r="B32" s="12" t="s">
        <v>142</v>
      </c>
      <c r="C32" s="12" t="s">
        <v>143</v>
      </c>
      <c r="D32" s="11" t="s">
        <v>198</v>
      </c>
      <c r="E32" s="9">
        <v>4</v>
      </c>
      <c r="F32" s="13" t="s">
        <v>7</v>
      </c>
      <c r="G32" s="13" t="s">
        <v>120</v>
      </c>
      <c r="H32" s="18">
        <v>4</v>
      </c>
      <c r="I32" s="19">
        <v>16</v>
      </c>
    </row>
    <row r="33" spans="1:9" x14ac:dyDescent="0.2">
      <c r="A33" s="10">
        <v>32</v>
      </c>
      <c r="B33" s="11" t="s">
        <v>97</v>
      </c>
      <c r="C33" s="11" t="s">
        <v>101</v>
      </c>
      <c r="D33" s="11" t="s">
        <v>198</v>
      </c>
      <c r="E33" s="9">
        <v>3</v>
      </c>
      <c r="F33" s="9" t="s">
        <v>9</v>
      </c>
      <c r="G33" s="9" t="s">
        <v>26</v>
      </c>
      <c r="H33" s="18">
        <v>3.3</v>
      </c>
      <c r="I33" s="19">
        <v>16</v>
      </c>
    </row>
    <row r="34" spans="1:9" x14ac:dyDescent="0.2">
      <c r="A34" s="10">
        <v>33</v>
      </c>
      <c r="B34" s="12" t="s">
        <v>53</v>
      </c>
      <c r="C34" s="12" t="s">
        <v>188</v>
      </c>
      <c r="D34" s="11" t="s">
        <v>197</v>
      </c>
      <c r="E34" s="9">
        <v>4</v>
      </c>
      <c r="F34" s="13" t="s">
        <v>11</v>
      </c>
      <c r="G34" s="13" t="s">
        <v>14</v>
      </c>
      <c r="H34" s="18">
        <v>3.5</v>
      </c>
      <c r="I34" s="19">
        <v>16</v>
      </c>
    </row>
    <row r="35" spans="1:9" x14ac:dyDescent="0.2">
      <c r="A35" s="10">
        <v>34</v>
      </c>
      <c r="B35" s="12" t="s">
        <v>176</v>
      </c>
      <c r="C35" s="12" t="s">
        <v>175</v>
      </c>
      <c r="D35" s="11" t="s">
        <v>198</v>
      </c>
      <c r="E35" s="9">
        <v>4</v>
      </c>
      <c r="F35" s="13" t="s">
        <v>11</v>
      </c>
      <c r="G35" s="13" t="s">
        <v>22</v>
      </c>
      <c r="H35" s="18">
        <v>3.99</v>
      </c>
      <c r="I35" s="19">
        <v>17</v>
      </c>
    </row>
    <row r="36" spans="1:9" x14ac:dyDescent="0.2">
      <c r="A36" s="10">
        <v>35</v>
      </c>
      <c r="B36" s="11" t="s">
        <v>45</v>
      </c>
      <c r="C36" s="11" t="s">
        <v>46</v>
      </c>
      <c r="D36" s="11" t="s">
        <v>197</v>
      </c>
      <c r="E36" s="9">
        <v>2</v>
      </c>
      <c r="F36" s="9" t="s">
        <v>19</v>
      </c>
      <c r="G36" s="9" t="s">
        <v>20</v>
      </c>
      <c r="H36" s="18">
        <v>2.2000000000000002</v>
      </c>
      <c r="I36" s="19">
        <v>16</v>
      </c>
    </row>
    <row r="37" spans="1:9" x14ac:dyDescent="0.2">
      <c r="A37" s="10">
        <v>36</v>
      </c>
      <c r="B37" s="12" t="s">
        <v>144</v>
      </c>
      <c r="C37" s="12" t="s">
        <v>145</v>
      </c>
      <c r="D37" s="11" t="s">
        <v>198</v>
      </c>
      <c r="E37" s="9">
        <v>1</v>
      </c>
      <c r="F37" s="13" t="s">
        <v>146</v>
      </c>
      <c r="G37" s="13" t="s">
        <v>120</v>
      </c>
      <c r="H37" s="18">
        <v>4</v>
      </c>
      <c r="I37" s="19">
        <v>15</v>
      </c>
    </row>
    <row r="38" spans="1:9" x14ac:dyDescent="0.2">
      <c r="A38" s="10">
        <v>37</v>
      </c>
      <c r="B38" s="12" t="s">
        <v>186</v>
      </c>
      <c r="C38" s="12" t="s">
        <v>187</v>
      </c>
      <c r="D38" s="11" t="s">
        <v>197</v>
      </c>
      <c r="E38" s="9">
        <v>3</v>
      </c>
      <c r="F38" s="13" t="s">
        <v>11</v>
      </c>
      <c r="G38" s="13" t="s">
        <v>17</v>
      </c>
      <c r="H38" s="18">
        <v>3.3</v>
      </c>
      <c r="I38" s="19">
        <v>13</v>
      </c>
    </row>
    <row r="39" spans="1:9" x14ac:dyDescent="0.2">
      <c r="A39" s="10">
        <v>38</v>
      </c>
      <c r="B39" s="11" t="s">
        <v>62</v>
      </c>
      <c r="C39" s="11" t="s">
        <v>111</v>
      </c>
      <c r="D39" s="11" t="s">
        <v>198</v>
      </c>
      <c r="E39" s="9">
        <v>2</v>
      </c>
      <c r="F39" s="9" t="s">
        <v>11</v>
      </c>
      <c r="G39" s="9" t="s">
        <v>29</v>
      </c>
      <c r="H39" s="18">
        <v>1.9</v>
      </c>
      <c r="I39" s="19">
        <v>15</v>
      </c>
    </row>
    <row r="40" spans="1:9" x14ac:dyDescent="0.2">
      <c r="A40" s="10">
        <v>39</v>
      </c>
      <c r="B40" s="11" t="s">
        <v>128</v>
      </c>
      <c r="C40" s="11" t="s">
        <v>174</v>
      </c>
      <c r="D40" s="11" t="s">
        <v>198</v>
      </c>
      <c r="E40" s="9">
        <v>1</v>
      </c>
      <c r="F40" s="9" t="s">
        <v>33</v>
      </c>
      <c r="G40" s="9" t="s">
        <v>115</v>
      </c>
      <c r="H40" s="18">
        <v>3</v>
      </c>
      <c r="I40" s="19">
        <v>16</v>
      </c>
    </row>
    <row r="41" spans="1:9" x14ac:dyDescent="0.2">
      <c r="A41" s="10">
        <v>40</v>
      </c>
      <c r="B41" s="11" t="s">
        <v>69</v>
      </c>
      <c r="C41" s="11" t="s">
        <v>70</v>
      </c>
      <c r="D41" s="11" t="s">
        <v>197</v>
      </c>
      <c r="E41" s="9">
        <v>2</v>
      </c>
      <c r="F41" s="9" t="s">
        <v>25</v>
      </c>
      <c r="G41" s="9" t="s">
        <v>26</v>
      </c>
      <c r="H41" s="18">
        <v>3.5</v>
      </c>
      <c r="I41" s="19">
        <v>14</v>
      </c>
    </row>
    <row r="42" spans="1:9" x14ac:dyDescent="0.2">
      <c r="A42" s="10">
        <v>41</v>
      </c>
      <c r="B42" s="11" t="s">
        <v>73</v>
      </c>
      <c r="C42" s="11" t="s">
        <v>74</v>
      </c>
      <c r="D42" s="11" t="s">
        <v>198</v>
      </c>
      <c r="E42" s="9">
        <v>3</v>
      </c>
      <c r="F42" s="9" t="s">
        <v>30</v>
      </c>
      <c r="G42" s="9" t="s">
        <v>14</v>
      </c>
      <c r="H42" s="18">
        <v>2.5</v>
      </c>
      <c r="I42" s="19">
        <v>18</v>
      </c>
    </row>
    <row r="43" spans="1:9" x14ac:dyDescent="0.2">
      <c r="A43" s="10">
        <v>42</v>
      </c>
      <c r="B43" s="11" t="s">
        <v>79</v>
      </c>
      <c r="C43" s="11" t="s">
        <v>80</v>
      </c>
      <c r="D43" s="11" t="s">
        <v>198</v>
      </c>
      <c r="E43" s="9">
        <v>2</v>
      </c>
      <c r="F43" s="9" t="s">
        <v>7</v>
      </c>
      <c r="G43" s="9" t="s">
        <v>13</v>
      </c>
      <c r="H43" s="18">
        <v>1.1000000000000001</v>
      </c>
      <c r="I43" s="19">
        <v>16</v>
      </c>
    </row>
    <row r="44" spans="1:9" x14ac:dyDescent="0.2">
      <c r="A44" s="10">
        <v>43</v>
      </c>
      <c r="B44" s="11" t="s">
        <v>139</v>
      </c>
      <c r="C44" s="11" t="s">
        <v>159</v>
      </c>
      <c r="D44" s="11" t="s">
        <v>197</v>
      </c>
      <c r="E44" s="9">
        <v>1</v>
      </c>
      <c r="F44" s="9" t="s">
        <v>138</v>
      </c>
      <c r="G44" s="9" t="s">
        <v>12</v>
      </c>
      <c r="H44" s="18">
        <v>3.7</v>
      </c>
      <c r="I44" s="19">
        <v>16</v>
      </c>
    </row>
    <row r="45" spans="1:9" x14ac:dyDescent="0.2">
      <c r="A45" s="10">
        <v>44</v>
      </c>
      <c r="B45" s="12" t="s">
        <v>157</v>
      </c>
      <c r="C45" s="12" t="s">
        <v>158</v>
      </c>
      <c r="D45" s="11" t="s">
        <v>197</v>
      </c>
      <c r="E45" s="9">
        <v>3</v>
      </c>
      <c r="F45" s="13" t="s">
        <v>118</v>
      </c>
      <c r="G45" s="13" t="s">
        <v>120</v>
      </c>
      <c r="H45" s="18">
        <v>4</v>
      </c>
      <c r="I45" s="19">
        <v>18</v>
      </c>
    </row>
    <row r="46" spans="1:9" x14ac:dyDescent="0.2">
      <c r="A46" s="10">
        <v>45</v>
      </c>
      <c r="B46" s="12" t="s">
        <v>81</v>
      </c>
      <c r="C46" s="12" t="s">
        <v>155</v>
      </c>
      <c r="D46" s="11" t="s">
        <v>197</v>
      </c>
      <c r="E46" s="9">
        <v>2</v>
      </c>
      <c r="F46" s="13" t="s">
        <v>32</v>
      </c>
      <c r="G46" s="13" t="s">
        <v>27</v>
      </c>
      <c r="H46" s="18">
        <v>2.5</v>
      </c>
      <c r="I46" s="19">
        <v>17</v>
      </c>
    </row>
    <row r="47" spans="1:9" x14ac:dyDescent="0.2">
      <c r="A47" s="10">
        <v>46</v>
      </c>
      <c r="B47" s="11" t="s">
        <v>36</v>
      </c>
      <c r="C47" s="11" t="s">
        <v>37</v>
      </c>
      <c r="D47" s="11" t="s">
        <v>198</v>
      </c>
      <c r="E47" s="9">
        <v>1</v>
      </c>
      <c r="F47" s="9" t="s">
        <v>7</v>
      </c>
      <c r="G47" s="9" t="s">
        <v>27</v>
      </c>
      <c r="H47" s="18">
        <v>1.2</v>
      </c>
      <c r="I47" s="19">
        <v>12</v>
      </c>
    </row>
    <row r="48" spans="1:9" x14ac:dyDescent="0.2">
      <c r="A48" s="10">
        <v>47</v>
      </c>
      <c r="B48" s="11" t="s">
        <v>172</v>
      </c>
      <c r="C48" s="11" t="s">
        <v>173</v>
      </c>
      <c r="D48" s="11" t="s">
        <v>198</v>
      </c>
      <c r="E48" s="9">
        <v>1</v>
      </c>
      <c r="F48" s="9" t="s">
        <v>171</v>
      </c>
      <c r="G48" s="9" t="s">
        <v>115</v>
      </c>
      <c r="H48" s="18">
        <v>3.75</v>
      </c>
      <c r="I48" s="19">
        <v>17</v>
      </c>
    </row>
    <row r="49" spans="1:9" x14ac:dyDescent="0.2">
      <c r="A49" s="10">
        <v>48</v>
      </c>
      <c r="B49" s="11" t="s">
        <v>97</v>
      </c>
      <c r="C49" s="11" t="s">
        <v>98</v>
      </c>
      <c r="D49" s="11" t="s">
        <v>198</v>
      </c>
      <c r="E49" s="9">
        <v>1</v>
      </c>
      <c r="F49" s="9" t="s">
        <v>9</v>
      </c>
      <c r="G49" s="9" t="s">
        <v>10</v>
      </c>
      <c r="H49" s="18">
        <v>1</v>
      </c>
      <c r="I49" s="19">
        <v>17</v>
      </c>
    </row>
    <row r="50" spans="1:9" x14ac:dyDescent="0.2">
      <c r="A50" s="10">
        <v>49</v>
      </c>
      <c r="B50" s="11" t="s">
        <v>102</v>
      </c>
      <c r="C50" s="11" t="s">
        <v>103</v>
      </c>
      <c r="D50" s="11" t="s">
        <v>198</v>
      </c>
      <c r="E50" s="9">
        <v>1</v>
      </c>
      <c r="F50" s="9" t="s">
        <v>11</v>
      </c>
      <c r="G50" s="9" t="s">
        <v>12</v>
      </c>
      <c r="H50" s="18">
        <v>0.25</v>
      </c>
      <c r="I50" s="19">
        <v>17</v>
      </c>
    </row>
    <row r="51" spans="1:9" x14ac:dyDescent="0.2">
      <c r="A51" s="10">
        <v>50</v>
      </c>
      <c r="B51" s="11" t="s">
        <v>104</v>
      </c>
      <c r="C51" s="11" t="s">
        <v>105</v>
      </c>
      <c r="D51" s="11" t="s">
        <v>197</v>
      </c>
      <c r="E51" s="9">
        <v>1</v>
      </c>
      <c r="F51" s="9" t="s">
        <v>11</v>
      </c>
      <c r="G51" s="9" t="s">
        <v>13</v>
      </c>
      <c r="H51" s="18">
        <v>3.8</v>
      </c>
      <c r="I51" s="19">
        <v>15</v>
      </c>
    </row>
    <row r="52" spans="1:9" x14ac:dyDescent="0.2">
      <c r="A52" s="10">
        <v>51</v>
      </c>
      <c r="B52" s="11" t="s">
        <v>113</v>
      </c>
      <c r="C52" s="11" t="s">
        <v>114</v>
      </c>
      <c r="D52" s="11" t="s">
        <v>198</v>
      </c>
      <c r="E52" s="9">
        <v>1</v>
      </c>
      <c r="F52" s="9" t="s">
        <v>11</v>
      </c>
      <c r="G52" s="9" t="s">
        <v>115</v>
      </c>
      <c r="H52" s="18">
        <v>4</v>
      </c>
      <c r="I52" s="19">
        <v>14</v>
      </c>
    </row>
    <row r="53" spans="1:9" x14ac:dyDescent="0.2">
      <c r="A53" s="10">
        <v>52</v>
      </c>
      <c r="B53" s="14" t="s">
        <v>47</v>
      </c>
      <c r="C53" s="14" t="s">
        <v>127</v>
      </c>
      <c r="D53" s="11" t="s">
        <v>198</v>
      </c>
      <c r="E53" s="9">
        <v>3</v>
      </c>
      <c r="F53" s="9" t="s">
        <v>11</v>
      </c>
      <c r="G53" s="15" t="s">
        <v>17</v>
      </c>
      <c r="H53" s="18">
        <v>3</v>
      </c>
      <c r="I53" s="19">
        <v>16</v>
      </c>
    </row>
    <row r="54" spans="1:9" x14ac:dyDescent="0.2">
      <c r="A54" s="10">
        <v>53</v>
      </c>
      <c r="B54" s="11" t="s">
        <v>38</v>
      </c>
      <c r="C54" s="11" t="s">
        <v>39</v>
      </c>
      <c r="D54" s="11" t="s">
        <v>197</v>
      </c>
      <c r="E54" s="9">
        <v>3</v>
      </c>
      <c r="F54" s="9" t="s">
        <v>7</v>
      </c>
      <c r="G54" s="9" t="s">
        <v>14</v>
      </c>
      <c r="H54" s="18">
        <v>3.3</v>
      </c>
      <c r="I54" s="19">
        <v>18</v>
      </c>
    </row>
    <row r="55" spans="1:9" x14ac:dyDescent="0.2">
      <c r="A55" s="10">
        <v>54</v>
      </c>
      <c r="B55" s="11" t="s">
        <v>58</v>
      </c>
      <c r="C55" s="11" t="s">
        <v>59</v>
      </c>
      <c r="D55" s="11" t="s">
        <v>197</v>
      </c>
      <c r="E55" s="9">
        <v>2</v>
      </c>
      <c r="F55" s="9" t="s">
        <v>18</v>
      </c>
      <c r="G55" s="9" t="s">
        <v>13</v>
      </c>
      <c r="H55" s="18">
        <v>1</v>
      </c>
      <c r="I55" s="19">
        <v>14</v>
      </c>
    </row>
    <row r="56" spans="1:9" x14ac:dyDescent="0.2">
      <c r="A56" s="10">
        <v>55</v>
      </c>
      <c r="B56" s="11" t="s">
        <v>42</v>
      </c>
      <c r="C56" s="11" t="s">
        <v>43</v>
      </c>
      <c r="D56" s="11" t="s">
        <v>198</v>
      </c>
      <c r="E56" s="9">
        <v>2</v>
      </c>
      <c r="F56" s="9" t="s">
        <v>11</v>
      </c>
      <c r="G56" s="9" t="s">
        <v>8</v>
      </c>
      <c r="H56" s="18">
        <v>2.2200000000000002</v>
      </c>
      <c r="I56" s="19">
        <v>13</v>
      </c>
    </row>
    <row r="57" spans="1:9" x14ac:dyDescent="0.2">
      <c r="A57" s="10">
        <v>56</v>
      </c>
      <c r="B57" s="11" t="s">
        <v>64</v>
      </c>
      <c r="C57" s="11" t="s">
        <v>66</v>
      </c>
      <c r="D57" s="11" t="s">
        <v>198</v>
      </c>
      <c r="E57" s="9">
        <v>4</v>
      </c>
      <c r="F57" s="9" t="s">
        <v>15</v>
      </c>
      <c r="G57" s="9" t="s">
        <v>16</v>
      </c>
      <c r="H57" s="18">
        <v>3.51</v>
      </c>
      <c r="I57" s="19">
        <v>14</v>
      </c>
    </row>
    <row r="58" spans="1:9" x14ac:dyDescent="0.2">
      <c r="A58" s="10">
        <v>57</v>
      </c>
      <c r="B58" s="11" t="s">
        <v>97</v>
      </c>
      <c r="C58" s="11" t="s">
        <v>112</v>
      </c>
      <c r="D58" s="11" t="s">
        <v>198</v>
      </c>
      <c r="E58" s="9">
        <v>2</v>
      </c>
      <c r="F58" s="9" t="s">
        <v>9</v>
      </c>
      <c r="G58" s="9" t="s">
        <v>28</v>
      </c>
      <c r="H58" s="18">
        <v>3.5</v>
      </c>
      <c r="I58" s="19">
        <v>16</v>
      </c>
    </row>
    <row r="59" spans="1:9" x14ac:dyDescent="0.2">
      <c r="A59" s="10">
        <v>58</v>
      </c>
      <c r="B59" s="11" t="s">
        <v>162</v>
      </c>
      <c r="C59" s="11" t="s">
        <v>163</v>
      </c>
      <c r="D59" s="11" t="s">
        <v>197</v>
      </c>
      <c r="E59" s="9">
        <v>2</v>
      </c>
      <c r="F59" s="9" t="s">
        <v>118</v>
      </c>
      <c r="G59" s="9" t="s">
        <v>29</v>
      </c>
      <c r="H59" s="18">
        <v>3</v>
      </c>
      <c r="I59" s="19">
        <v>18</v>
      </c>
    </row>
    <row r="60" spans="1:9" x14ac:dyDescent="0.2">
      <c r="A60" s="10">
        <v>59</v>
      </c>
      <c r="B60" s="11" t="s">
        <v>125</v>
      </c>
      <c r="C60" s="11" t="s">
        <v>126</v>
      </c>
      <c r="D60" s="11" t="s">
        <v>198</v>
      </c>
      <c r="E60" s="9">
        <v>4</v>
      </c>
      <c r="F60" s="9" t="s">
        <v>18</v>
      </c>
      <c r="G60" s="9" t="s">
        <v>120</v>
      </c>
      <c r="H60" s="18">
        <v>4</v>
      </c>
      <c r="I60" s="19">
        <v>14</v>
      </c>
    </row>
    <row r="61" spans="1:9" x14ac:dyDescent="0.2">
      <c r="A61" s="10">
        <v>60</v>
      </c>
      <c r="B61" s="11" t="s">
        <v>47</v>
      </c>
      <c r="C61" s="11" t="s">
        <v>48</v>
      </c>
      <c r="D61" s="11" t="s">
        <v>197</v>
      </c>
      <c r="E61" s="9">
        <v>4</v>
      </c>
      <c r="F61" s="9" t="s">
        <v>11</v>
      </c>
      <c r="G61" s="9" t="s">
        <v>10</v>
      </c>
      <c r="H61" s="18">
        <v>3</v>
      </c>
      <c r="I61" s="19">
        <v>16</v>
      </c>
    </row>
    <row r="62" spans="1:9" x14ac:dyDescent="0.2">
      <c r="A62" s="10">
        <v>61</v>
      </c>
      <c r="B62" s="12" t="s">
        <v>151</v>
      </c>
      <c r="C62" s="12" t="s">
        <v>152</v>
      </c>
      <c r="D62" s="11" t="s">
        <v>198</v>
      </c>
      <c r="E62" s="9">
        <v>2</v>
      </c>
      <c r="F62" s="13" t="s">
        <v>31</v>
      </c>
      <c r="G62" s="13" t="s">
        <v>12</v>
      </c>
      <c r="H62" s="18">
        <v>3.5</v>
      </c>
      <c r="I62" s="19">
        <v>12</v>
      </c>
    </row>
    <row r="63" spans="1:9" x14ac:dyDescent="0.2">
      <c r="A63" s="10">
        <v>62</v>
      </c>
      <c r="B63" s="11" t="s">
        <v>121</v>
      </c>
      <c r="C63" s="11" t="s">
        <v>122</v>
      </c>
      <c r="D63" s="11" t="s">
        <v>197</v>
      </c>
      <c r="E63" s="9">
        <v>2</v>
      </c>
      <c r="F63" s="9" t="s">
        <v>11</v>
      </c>
      <c r="G63" s="9" t="s">
        <v>120</v>
      </c>
      <c r="H63" s="18">
        <v>3</v>
      </c>
      <c r="I63" s="19">
        <v>12</v>
      </c>
    </row>
    <row r="64" spans="1:9" x14ac:dyDescent="0.2">
      <c r="A64" s="10">
        <v>63</v>
      </c>
      <c r="B64" s="12" t="s">
        <v>67</v>
      </c>
      <c r="C64" s="12" t="s">
        <v>156</v>
      </c>
      <c r="D64" s="11" t="s">
        <v>198</v>
      </c>
      <c r="E64" s="9">
        <v>3</v>
      </c>
      <c r="F64" s="13" t="s">
        <v>31</v>
      </c>
      <c r="G64" s="13" t="s">
        <v>29</v>
      </c>
      <c r="H64" s="18">
        <v>3</v>
      </c>
      <c r="I64" s="19">
        <v>17</v>
      </c>
    </row>
    <row r="65" spans="1:9" x14ac:dyDescent="0.2">
      <c r="A65" s="10">
        <v>64</v>
      </c>
      <c r="B65" s="11" t="s">
        <v>123</v>
      </c>
      <c r="C65" s="11" t="s">
        <v>124</v>
      </c>
      <c r="D65" s="11" t="s">
        <v>198</v>
      </c>
      <c r="E65" s="9">
        <v>2</v>
      </c>
      <c r="F65" s="9" t="s">
        <v>7</v>
      </c>
      <c r="G65" s="9" t="s">
        <v>120</v>
      </c>
      <c r="H65" s="18">
        <v>3.3</v>
      </c>
      <c r="I65" s="19">
        <v>13</v>
      </c>
    </row>
    <row r="66" spans="1:9" x14ac:dyDescent="0.2">
      <c r="A66" s="10">
        <v>65</v>
      </c>
      <c r="B66" s="12" t="s">
        <v>169</v>
      </c>
      <c r="C66" s="12" t="s">
        <v>170</v>
      </c>
      <c r="D66" s="11" t="s">
        <v>198</v>
      </c>
      <c r="E66" s="9">
        <v>3</v>
      </c>
      <c r="F66" s="13" t="s">
        <v>171</v>
      </c>
      <c r="G66" s="13" t="s">
        <v>12</v>
      </c>
      <c r="H66" s="18">
        <v>4</v>
      </c>
      <c r="I66" s="19">
        <v>14</v>
      </c>
    </row>
    <row r="67" spans="1:9" x14ac:dyDescent="0.2">
      <c r="A67" s="10">
        <v>66</v>
      </c>
      <c r="B67" s="11" t="s">
        <v>91</v>
      </c>
      <c r="C67" s="11" t="s">
        <v>92</v>
      </c>
      <c r="D67" s="11" t="s">
        <v>197</v>
      </c>
      <c r="E67" s="9">
        <v>2</v>
      </c>
      <c r="F67" s="9" t="s">
        <v>18</v>
      </c>
      <c r="G67" s="9" t="s">
        <v>14</v>
      </c>
      <c r="H67" s="18">
        <v>1.5</v>
      </c>
      <c r="I67" s="19">
        <v>17</v>
      </c>
    </row>
    <row r="68" spans="1:9" x14ac:dyDescent="0.2">
      <c r="A68" s="10">
        <v>67</v>
      </c>
      <c r="B68" s="11" t="s">
        <v>67</v>
      </c>
      <c r="C68" s="11" t="s">
        <v>68</v>
      </c>
      <c r="D68" s="11" t="s">
        <v>197</v>
      </c>
      <c r="E68" s="9">
        <v>3</v>
      </c>
      <c r="F68" s="9" t="s">
        <v>31</v>
      </c>
      <c r="G68" s="9" t="s">
        <v>5</v>
      </c>
      <c r="H68" s="18">
        <v>2.8</v>
      </c>
      <c r="I68" s="19">
        <v>18</v>
      </c>
    </row>
    <row r="69" spans="1:9" x14ac:dyDescent="0.2">
      <c r="A69" s="10">
        <v>68</v>
      </c>
      <c r="B69" s="11" t="s">
        <v>54</v>
      </c>
      <c r="C69" s="11" t="s">
        <v>55</v>
      </c>
      <c r="D69" s="11" t="s">
        <v>197</v>
      </c>
      <c r="E69" s="9">
        <v>2</v>
      </c>
      <c r="F69" s="9" t="s">
        <v>3</v>
      </c>
      <c r="G69" s="9" t="s">
        <v>5</v>
      </c>
      <c r="H69" s="18">
        <v>4</v>
      </c>
      <c r="I69" s="19">
        <v>12</v>
      </c>
    </row>
    <row r="70" spans="1:9" x14ac:dyDescent="0.2">
      <c r="A70" s="10">
        <v>69</v>
      </c>
      <c r="B70" s="11" t="s">
        <v>164</v>
      </c>
      <c r="C70" s="11" t="s">
        <v>165</v>
      </c>
      <c r="D70" s="11" t="s">
        <v>197</v>
      </c>
      <c r="E70" s="9">
        <v>3</v>
      </c>
      <c r="F70" s="9" t="s">
        <v>118</v>
      </c>
      <c r="G70" s="9" t="s">
        <v>14</v>
      </c>
      <c r="H70" s="18">
        <v>3.5</v>
      </c>
      <c r="I70" s="19">
        <v>14</v>
      </c>
    </row>
    <row r="71" spans="1:9" x14ac:dyDescent="0.2">
      <c r="A71" s="10">
        <v>70</v>
      </c>
      <c r="B71" s="11" t="s">
        <v>109</v>
      </c>
      <c r="C71" s="11" t="s">
        <v>110</v>
      </c>
      <c r="D71" s="11" t="s">
        <v>198</v>
      </c>
      <c r="E71" s="9">
        <v>2</v>
      </c>
      <c r="F71" s="9" t="s">
        <v>3</v>
      </c>
      <c r="G71" s="9" t="s">
        <v>12</v>
      </c>
      <c r="H71" s="18">
        <v>4</v>
      </c>
      <c r="I71" s="19">
        <v>14</v>
      </c>
    </row>
    <row r="72" spans="1:9" x14ac:dyDescent="0.2">
      <c r="A72" s="10">
        <v>71</v>
      </c>
      <c r="B72" s="11" t="s">
        <v>167</v>
      </c>
      <c r="C72" s="11" t="s">
        <v>166</v>
      </c>
      <c r="D72" s="11" t="s">
        <v>197</v>
      </c>
      <c r="E72" s="9">
        <v>4</v>
      </c>
      <c r="F72" s="9" t="s">
        <v>11</v>
      </c>
      <c r="G72" s="9" t="s">
        <v>10</v>
      </c>
      <c r="H72" s="18">
        <v>4</v>
      </c>
      <c r="I72" s="19">
        <v>16</v>
      </c>
    </row>
    <row r="73" spans="1:9" x14ac:dyDescent="0.2">
      <c r="A73" s="10">
        <v>72</v>
      </c>
      <c r="B73" s="11" t="s">
        <v>75</v>
      </c>
      <c r="C73" s="11" t="s">
        <v>76</v>
      </c>
      <c r="D73" s="11" t="s">
        <v>198</v>
      </c>
      <c r="E73" s="9">
        <v>3</v>
      </c>
      <c r="F73" s="9" t="s">
        <v>11</v>
      </c>
      <c r="G73" s="9" t="s">
        <v>22</v>
      </c>
      <c r="H73" s="18">
        <v>3.8</v>
      </c>
      <c r="I73" s="19">
        <v>12</v>
      </c>
    </row>
    <row r="74" spans="1:9" x14ac:dyDescent="0.2">
      <c r="A74" s="10">
        <v>73</v>
      </c>
      <c r="B74" s="11" t="s">
        <v>42</v>
      </c>
      <c r="C74" s="11" t="s">
        <v>44</v>
      </c>
      <c r="D74" s="11" t="s">
        <v>198</v>
      </c>
      <c r="E74" s="9">
        <v>2</v>
      </c>
      <c r="F74" s="9" t="s">
        <v>11</v>
      </c>
      <c r="G74" s="9" t="s">
        <v>8</v>
      </c>
      <c r="H74" s="18">
        <v>2.2200000000000002</v>
      </c>
      <c r="I74" s="19">
        <v>13</v>
      </c>
    </row>
    <row r="75" spans="1:9" x14ac:dyDescent="0.2">
      <c r="A75" s="10">
        <v>74</v>
      </c>
      <c r="B75" s="11" t="s">
        <v>119</v>
      </c>
      <c r="C75" s="11" t="s">
        <v>61</v>
      </c>
      <c r="D75" s="11" t="s">
        <v>197</v>
      </c>
      <c r="E75" s="9">
        <v>1</v>
      </c>
      <c r="F75" s="9" t="s">
        <v>15</v>
      </c>
      <c r="G75" s="9" t="s">
        <v>120</v>
      </c>
      <c r="H75" s="18">
        <v>3</v>
      </c>
      <c r="I75" s="19">
        <v>12</v>
      </c>
    </row>
    <row r="76" spans="1:9" x14ac:dyDescent="0.2">
      <c r="A76" s="10">
        <v>75</v>
      </c>
      <c r="B76" s="11" t="s">
        <v>77</v>
      </c>
      <c r="C76" s="11" t="s">
        <v>78</v>
      </c>
      <c r="D76" s="11" t="s">
        <v>197</v>
      </c>
      <c r="E76" s="9">
        <v>4</v>
      </c>
      <c r="F76" s="9" t="s">
        <v>11</v>
      </c>
      <c r="G76" s="9" t="s">
        <v>14</v>
      </c>
      <c r="H76" s="18">
        <v>4</v>
      </c>
      <c r="I76" s="19">
        <v>17</v>
      </c>
    </row>
    <row r="77" spans="1:9" x14ac:dyDescent="0.2">
      <c r="A77" s="10">
        <v>76</v>
      </c>
      <c r="B77" s="12" t="s">
        <v>128</v>
      </c>
      <c r="C77" s="12" t="s">
        <v>129</v>
      </c>
      <c r="D77" s="11" t="s">
        <v>197</v>
      </c>
      <c r="E77" s="9">
        <v>1</v>
      </c>
      <c r="F77" s="13" t="s">
        <v>30</v>
      </c>
      <c r="G77" s="13" t="s">
        <v>12</v>
      </c>
      <c r="H77" s="18">
        <v>4</v>
      </c>
      <c r="I77" s="19">
        <v>18</v>
      </c>
    </row>
    <row r="78" spans="1:9" x14ac:dyDescent="0.2">
      <c r="A78" s="10">
        <v>77</v>
      </c>
      <c r="B78" s="12" t="s">
        <v>136</v>
      </c>
      <c r="C78" s="12" t="s">
        <v>137</v>
      </c>
      <c r="D78" s="11" t="s">
        <v>198</v>
      </c>
      <c r="E78" s="9">
        <v>1</v>
      </c>
      <c r="F78" s="13" t="s">
        <v>138</v>
      </c>
      <c r="G78" s="13" t="s">
        <v>115</v>
      </c>
      <c r="H78" s="18">
        <v>4</v>
      </c>
      <c r="I78" s="19">
        <v>14</v>
      </c>
    </row>
    <row r="79" spans="1:9" x14ac:dyDescent="0.2">
      <c r="A79" s="10">
        <v>78</v>
      </c>
      <c r="B79" s="11" t="s">
        <v>189</v>
      </c>
      <c r="C79" s="11" t="s">
        <v>190</v>
      </c>
      <c r="D79" s="11" t="s">
        <v>197</v>
      </c>
      <c r="E79" s="9">
        <v>2</v>
      </c>
      <c r="F79" s="9" t="s">
        <v>191</v>
      </c>
      <c r="G79" s="9" t="s">
        <v>22</v>
      </c>
      <c r="H79" s="18">
        <v>3.99</v>
      </c>
      <c r="I79" s="19">
        <v>14</v>
      </c>
    </row>
    <row r="80" spans="1:9" x14ac:dyDescent="0.2">
      <c r="A80" s="10">
        <v>79</v>
      </c>
      <c r="B80" s="11" t="s">
        <v>192</v>
      </c>
      <c r="C80" s="11" t="s">
        <v>193</v>
      </c>
      <c r="D80" s="11" t="s">
        <v>198</v>
      </c>
      <c r="E80" s="9">
        <v>3</v>
      </c>
      <c r="F80" s="9" t="s">
        <v>194</v>
      </c>
      <c r="G80" s="9" t="s">
        <v>29</v>
      </c>
      <c r="H80" s="18">
        <v>3.8</v>
      </c>
      <c r="I80" s="19">
        <v>17</v>
      </c>
    </row>
    <row r="81" spans="1:9" x14ac:dyDescent="0.2">
      <c r="A81" s="20">
        <v>80</v>
      </c>
      <c r="B81" s="21" t="s">
        <v>199</v>
      </c>
      <c r="C81" s="21" t="s">
        <v>200</v>
      </c>
      <c r="D81" s="21" t="s">
        <v>197</v>
      </c>
      <c r="E81" s="21">
        <v>4</v>
      </c>
      <c r="F81" s="21" t="s">
        <v>11</v>
      </c>
      <c r="G81" s="22" t="s">
        <v>201</v>
      </c>
      <c r="H81" s="22">
        <v>3.34</v>
      </c>
      <c r="I81" s="22">
        <v>12</v>
      </c>
    </row>
    <row r="82" spans="1:9" x14ac:dyDescent="0.2">
      <c r="A82" s="5"/>
    </row>
    <row r="83" spans="1:9" x14ac:dyDescent="0.2">
      <c r="A83"/>
      <c r="E83"/>
      <c r="F83"/>
      <c r="G83" s="7"/>
      <c r="H83" s="6"/>
    </row>
    <row r="84" spans="1:9" x14ac:dyDescent="0.2">
      <c r="A84"/>
      <c r="E84" s="4"/>
      <c r="F84"/>
      <c r="G84" s="8"/>
      <c r="H84" s="6"/>
    </row>
    <row r="85" spans="1:9" x14ac:dyDescent="0.2">
      <c r="B85" s="1"/>
      <c r="E85" s="4"/>
      <c r="F85"/>
      <c r="G85" s="8"/>
      <c r="H85"/>
    </row>
    <row r="86" spans="1:9" x14ac:dyDescent="0.2">
      <c r="B86" s="1"/>
      <c r="E86" s="4"/>
      <c r="F86"/>
      <c r="G86" s="8"/>
      <c r="H86"/>
    </row>
    <row r="87" spans="1:9" x14ac:dyDescent="0.2">
      <c r="B87" s="1"/>
      <c r="E87" s="4"/>
      <c r="F87"/>
      <c r="G87" s="8"/>
      <c r="H87"/>
    </row>
    <row r="88" spans="1:9" x14ac:dyDescent="0.2">
      <c r="B88" s="1"/>
      <c r="E88" s="4"/>
      <c r="F88"/>
      <c r="G88" s="8"/>
      <c r="H88"/>
    </row>
    <row r="89" spans="1:9" x14ac:dyDescent="0.2">
      <c r="B89" s="1"/>
      <c r="E89" s="4"/>
      <c r="F89"/>
      <c r="G89" s="8"/>
      <c r="H89"/>
    </row>
    <row r="90" spans="1:9" x14ac:dyDescent="0.2">
      <c r="B90" s="1"/>
      <c r="E90" s="4"/>
      <c r="F90"/>
      <c r="G90"/>
      <c r="H90"/>
    </row>
    <row r="91" spans="1:9" x14ac:dyDescent="0.2">
      <c r="B91" s="1"/>
      <c r="E91" s="4"/>
      <c r="F91"/>
      <c r="G91"/>
      <c r="H91"/>
    </row>
    <row r="92" spans="1:9" x14ac:dyDescent="0.2">
      <c r="B92" s="1"/>
      <c r="E92" s="4"/>
      <c r="F92"/>
      <c r="G92"/>
      <c r="H92"/>
    </row>
    <row r="93" spans="1:9" x14ac:dyDescent="0.2">
      <c r="B93" s="1"/>
      <c r="E93" s="4"/>
      <c r="F93"/>
      <c r="G93"/>
      <c r="H93"/>
    </row>
    <row r="94" spans="1:9" x14ac:dyDescent="0.2">
      <c r="B94" s="1"/>
      <c r="E94" s="4"/>
      <c r="F94"/>
      <c r="G94"/>
      <c r="H94"/>
    </row>
    <row r="95" spans="1:9" x14ac:dyDescent="0.2">
      <c r="B95" s="1"/>
      <c r="E95" s="4"/>
      <c r="F95"/>
      <c r="G95"/>
      <c r="H95"/>
    </row>
    <row r="96" spans="1:9" x14ac:dyDescent="0.2">
      <c r="B96" s="1"/>
      <c r="E96" s="4"/>
      <c r="F96"/>
      <c r="G96"/>
      <c r="H96"/>
    </row>
    <row r="97" spans="2:8" x14ac:dyDescent="0.2">
      <c r="B97" s="1"/>
      <c r="E97" s="4"/>
      <c r="F97"/>
      <c r="G97"/>
      <c r="H97"/>
    </row>
    <row r="98" spans="2:8" x14ac:dyDescent="0.2">
      <c r="B98" s="1"/>
      <c r="E98" s="4"/>
      <c r="F98"/>
      <c r="G98"/>
      <c r="H98"/>
    </row>
    <row r="99" spans="2:8" x14ac:dyDescent="0.2">
      <c r="B99" s="1"/>
      <c r="E99" s="4"/>
      <c r="F99"/>
      <c r="G99"/>
      <c r="H99"/>
    </row>
    <row r="100" spans="2:8" x14ac:dyDescent="0.2">
      <c r="B100" s="1"/>
      <c r="E100" s="4"/>
      <c r="F100"/>
      <c r="G100"/>
      <c r="H100"/>
    </row>
    <row r="101" spans="2:8" x14ac:dyDescent="0.2">
      <c r="B101" s="1"/>
      <c r="E101" s="4"/>
      <c r="F101"/>
      <c r="G101"/>
      <c r="H101"/>
    </row>
    <row r="102" spans="2:8" x14ac:dyDescent="0.2">
      <c r="B102" s="1"/>
      <c r="E102" s="4"/>
      <c r="F102"/>
      <c r="G102"/>
      <c r="H102"/>
    </row>
    <row r="103" spans="2:8" x14ac:dyDescent="0.2">
      <c r="B103" s="1"/>
      <c r="E103" s="4"/>
      <c r="F103"/>
      <c r="G103"/>
      <c r="H103"/>
    </row>
    <row r="104" spans="2:8" x14ac:dyDescent="0.2">
      <c r="B104" s="1"/>
      <c r="E104" s="4"/>
      <c r="F104"/>
      <c r="G104"/>
      <c r="H104"/>
    </row>
    <row r="105" spans="2:8" x14ac:dyDescent="0.2">
      <c r="B105" s="1"/>
      <c r="E105" s="4"/>
      <c r="F105"/>
      <c r="G105"/>
      <c r="H105"/>
    </row>
    <row r="106" spans="2:8" x14ac:dyDescent="0.2">
      <c r="B106" s="1"/>
      <c r="E106"/>
      <c r="F106"/>
      <c r="G106"/>
      <c r="H106"/>
    </row>
    <row r="107" spans="2:8" x14ac:dyDescent="0.2">
      <c r="B107" s="1"/>
      <c r="E107"/>
      <c r="F107"/>
      <c r="G107" s="8"/>
      <c r="H107"/>
    </row>
    <row r="108" spans="2:8" x14ac:dyDescent="0.2">
      <c r="B108" s="1"/>
    </row>
    <row r="109" spans="2:8" x14ac:dyDescent="0.2">
      <c r="B109" s="1"/>
    </row>
    <row r="110" spans="2:8" x14ac:dyDescent="0.2">
      <c r="B110" s="1"/>
    </row>
  </sheetData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700998-527b-41f2-899c-78f7b4e9e7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64CB6A677042B43650EF789CEE5E" ma:contentTypeVersion="18" ma:contentTypeDescription="Create a new document." ma:contentTypeScope="" ma:versionID="9ebda0faf38f46ddcb4d502e16ccc11c">
  <xsd:schema xmlns:xsd="http://www.w3.org/2001/XMLSchema" xmlns:xs="http://www.w3.org/2001/XMLSchema" xmlns:p="http://schemas.microsoft.com/office/2006/metadata/properties" xmlns:ns3="55700998-527b-41f2-899c-78f7b4e9e775" xmlns:ns4="4f948357-9647-417c-9885-9e9896ad7197" targetNamespace="http://schemas.microsoft.com/office/2006/metadata/properties" ma:root="true" ma:fieldsID="66d931d832e7691b85558696d3c7453d" ns3:_="" ns4:_="">
    <xsd:import namespace="55700998-527b-41f2-899c-78f7b4e9e775"/>
    <xsd:import namespace="4f948357-9647-417c-9885-9e9896ad719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98-527b-41f2-899c-78f7b4e9e7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48357-9647-417c-9885-9e9896ad719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4B19BB-7074-42C4-9527-62D3BF22EDC6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55700998-527b-41f2-899c-78f7b4e9e775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f948357-9647-417c-9885-9e9896ad719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D21DB54-0066-43E5-8235-744C69E889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5CBE44F-E110-4786-8678-0478D96B9C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98-527b-41f2-899c-78f7b4e9e775"/>
    <ds:schemaRef ds:uri="4f948357-9647-417c-9885-9e9896ad7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College</vt:lpstr>
      <vt:lpstr>Sheet1</vt:lpstr>
      <vt:lpstr>Pivot Table</vt:lpstr>
      <vt:lpstr>College!Criteria</vt:lpstr>
      <vt:lpstr>'Pivot Table'!Criteria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Nyhoff</dc:creator>
  <cp:lastModifiedBy>Alejandro De La Torre</cp:lastModifiedBy>
  <cp:lastPrinted>1998-12-02T03:43:23Z</cp:lastPrinted>
  <dcterms:created xsi:type="dcterms:W3CDTF">1997-12-02T02:34:56Z</dcterms:created>
  <dcterms:modified xsi:type="dcterms:W3CDTF">2025-10-25T04:33:01Z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0x010100362C64CB6A677042B43650EF789CEE5E</vt:lpwstr>
  </property>
</Properties>
</file>