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wprod-my.sharepoint.com/personal/adelatorre2_wisc_edu/Documents/Coursework/L I S 440/Lectures/Week 4/9-25/"/>
    </mc:Choice>
  </mc:AlternateContent>
  <xr:revisionPtr revIDLastSave="0" documentId="14_{DBB99723-B447-47CF-9F19-B746E947BD74}" xr6:coauthVersionLast="47" xr6:coauthVersionMax="47" xr10:uidLastSave="{00000000-0000-0000-0000-000000000000}"/>
  <bookViews>
    <workbookView xWindow="-120" yWindow="-120" windowWidth="22920" windowHeight="13800" tabRatio="938" activeTab="6" xr2:uid="{00000000-000D-0000-FFFF-FFFF00000000}"/>
  </bookViews>
  <sheets>
    <sheet name="Useful Functions" sheetId="35" r:id="rId1"/>
    <sheet name="COUNT Functions" sheetId="4" r:id="rId2"/>
    <sheet name="Math Functions" sheetId="5" r:id="rId3"/>
    <sheet name="Nesting Functions" sheetId="6" r:id="rId4"/>
    <sheet name="dates &amp; times" sheetId="19" r:id="rId5"/>
    <sheet name="Date Functions" sheetId="8" r:id="rId6"/>
    <sheet name="Time Functions" sheetId="9" r:id="rId7"/>
    <sheet name="VLOOKUP()" sheetId="29" r:id="rId8"/>
    <sheet name="Cell and Range Names" sheetId="30" r:id="rId9"/>
    <sheet name="VLOOKUP() - FALSE parame" sheetId="31" r:id="rId10"/>
    <sheet name="VLOOKUP() - Names" sheetId="32" r:id="rId11"/>
    <sheet name="IF Example Flat Rate" sheetId="10" r:id="rId12"/>
    <sheet name="IF Example Per Mile" sheetId="26" r:id="rId13"/>
    <sheet name="Nested IF Example Flat Rate" sheetId="27" r:id="rId14"/>
    <sheet name="Nested IF Example Per Mile" sheetId="28" r:id="rId15"/>
  </sheets>
  <definedNames>
    <definedName name="scale">#REF!</definedName>
    <definedName name="score">#REF!</definedName>
    <definedName name="studentdata">#REF!</definedName>
    <definedName name="studentnumber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9" l="1"/>
  <c r="E4" i="9" s="1"/>
  <c r="C2" i="8"/>
  <c r="C3" i="8" s="1"/>
  <c r="D2" i="19"/>
  <c r="D4" i="19" s="1"/>
  <c r="B6" i="6"/>
  <c r="D9" i="5"/>
  <c r="E10" i="5"/>
  <c r="E11" i="5" s="1"/>
  <c r="D6" i="5"/>
  <c r="D3" i="5"/>
  <c r="D2" i="5"/>
  <c r="B10" i="35"/>
  <c r="B11" i="35"/>
  <c r="B9" i="35"/>
  <c r="B5" i="6"/>
  <c r="B7" i="6" s="1"/>
  <c r="E6" i="9" l="1"/>
  <c r="E5" i="9"/>
  <c r="C9" i="8"/>
  <c r="C8" i="8"/>
  <c r="C6" i="8"/>
  <c r="C5" i="8"/>
  <c r="C4" i="8"/>
  <c r="E12" i="5"/>
  <c r="D12" i="5" s="1"/>
  <c r="D11" i="5"/>
  <c r="D10" i="5"/>
</calcChain>
</file>

<file path=xl/sharedStrings.xml><?xml version="1.0" encoding="utf-8"?>
<sst xmlns="http://schemas.openxmlformats.org/spreadsheetml/2006/main" count="131" uniqueCount="84">
  <si>
    <t>Joe</t>
  </si>
  <si>
    <t>Today:</t>
  </si>
  <si>
    <t>Month:</t>
  </si>
  <si>
    <t>Day:</t>
  </si>
  <si>
    <t>Year:</t>
  </si>
  <si>
    <t>Weekday:</t>
  </si>
  <si>
    <t>Current Date
 and Time</t>
  </si>
  <si>
    <t>Hour:</t>
  </si>
  <si>
    <t>Minute:</t>
  </si>
  <si>
    <t>Seconds:</t>
  </si>
  <si>
    <t>John</t>
  </si>
  <si>
    <t>Jack</t>
  </si>
  <si>
    <t>Jeremy</t>
  </si>
  <si>
    <t>Jorge</t>
  </si>
  <si>
    <t>Jane</t>
  </si>
  <si>
    <t>Jim</t>
  </si>
  <si>
    <t>COUNT()</t>
  </si>
  <si>
    <t>COUNTBLANK()</t>
  </si>
  <si>
    <t>COUNTA()</t>
  </si>
  <si>
    <t>cells with numbers</t>
  </si>
  <si>
    <t>cells with blanks</t>
  </si>
  <si>
    <t>ABS()</t>
  </si>
  <si>
    <t>Absolute Value:</t>
  </si>
  <si>
    <t>Truncated:</t>
  </si>
  <si>
    <t>Rounded:</t>
  </si>
  <si>
    <t>INT()</t>
  </si>
  <si>
    <t>ROUND()</t>
  </si>
  <si>
    <t>A</t>
  </si>
  <si>
    <t>A-</t>
  </si>
  <si>
    <t>B+</t>
  </si>
  <si>
    <t>B</t>
  </si>
  <si>
    <t>B-</t>
  </si>
  <si>
    <t>C+</t>
  </si>
  <si>
    <t>C</t>
  </si>
  <si>
    <t>C-</t>
  </si>
  <si>
    <t>D+</t>
  </si>
  <si>
    <t>D</t>
  </si>
  <si>
    <t>D-</t>
  </si>
  <si>
    <t>F</t>
  </si>
  <si>
    <t>Grade:</t>
  </si>
  <si>
    <t>Score:</t>
  </si>
  <si>
    <t>Total:</t>
  </si>
  <si>
    <t>Tip:</t>
  </si>
  <si>
    <t>Subtotal:</t>
  </si>
  <si>
    <t xml:space="preserve">Formatting: </t>
  </si>
  <si>
    <t>dddd</t>
  </si>
  <si>
    <t>February</t>
  </si>
  <si>
    <t>ddd</t>
  </si>
  <si>
    <t>Feb</t>
  </si>
  <si>
    <t>mmm</t>
  </si>
  <si>
    <t>Mon</t>
  </si>
  <si>
    <t>Monday</t>
  </si>
  <si>
    <t>mmmm</t>
  </si>
  <si>
    <t>Flat Shipping Rate:</t>
  </si>
  <si>
    <t>Distance from Store:</t>
  </si>
  <si>
    <t>Shipping Cost:</t>
  </si>
  <si>
    <t>Maximum Distance 
for Free Shipping:</t>
  </si>
  <si>
    <t>Maximum Distance 
for Paid Shipping:</t>
  </si>
  <si>
    <t>or</t>
  </si>
  <si>
    <t>Number:</t>
  </si>
  <si>
    <t>Name:</t>
  </si>
  <si>
    <t>Smith</t>
  </si>
  <si>
    <t>Jones</t>
  </si>
  <si>
    <t>Jackson</t>
  </si>
  <si>
    <t>Harrison</t>
  </si>
  <si>
    <t>Alberts</t>
  </si>
  <si>
    <t>Jamison</t>
  </si>
  <si>
    <t>Stone</t>
  </si>
  <si>
    <t>Shipping Rate per Mile:</t>
  </si>
  <si>
    <r>
      <t>=TEXT(</t>
    </r>
    <r>
      <rPr>
        <b/>
        <i/>
        <sz val="20"/>
        <color theme="1"/>
        <rFont val="Consolas"/>
        <family val="3"/>
      </rPr>
      <t>address-of-cell-with-date</t>
    </r>
    <r>
      <rPr>
        <b/>
        <sz val="20"/>
        <color theme="1"/>
        <rFont val="Consolas"/>
        <family val="3"/>
      </rPr>
      <t>, "</t>
    </r>
    <r>
      <rPr>
        <b/>
        <i/>
        <sz val="20"/>
        <color theme="1"/>
        <rFont val="Consolas"/>
        <family val="3"/>
      </rPr>
      <t>format</t>
    </r>
    <r>
      <rPr>
        <b/>
        <sz val="20"/>
        <color theme="1"/>
        <rFont val="Consolas"/>
        <family val="3"/>
      </rPr>
      <t>")</t>
    </r>
  </si>
  <si>
    <t>Points:</t>
  </si>
  <si>
    <t>Count:</t>
  </si>
  <si>
    <t>Average:</t>
  </si>
  <si>
    <t>cells that are not empty, have numeric or non-numeric entries</t>
  </si>
  <si>
    <t>Alejandro De La Torre</t>
  </si>
  <si>
    <t>Thursday, 9/25/2025</t>
  </si>
  <si>
    <t>&lt;--Here I leveraged the '=subtotal' function to sum over the same list however this approach could have the advantage in instances where we would only want to sum/total/avg over only a visible list of data if we run the risk of potentially including hidden data as opposed to =SUM(B5:B8) which in this regard can be less dynamic.</t>
  </si>
  <si>
    <t># of Units to Round to:</t>
  </si>
  <si>
    <t>&lt;-- Here I just made the number of digits more dynamic by making it contingent on this list of digits.</t>
  </si>
  <si>
    <t>Tip %</t>
  </si>
  <si>
    <t>^ I know this is not how professor Nyhoff did it, but wanted to share this method because I think it looks cool.</t>
  </si>
  <si>
    <t>&lt;--Here I assumed by nesting he meant that we insert the formulas from other cells into the same one so that they are not contingent on another cell.</t>
  </si>
  <si>
    <t>End of Year</t>
  </si>
  <si>
    <t xml:space="preserve">Days left in 2025: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</si>
</sst>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&quot;$&quot;#,##0.00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44"/>
      <color rgb="FF00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24"/>
      <color theme="1"/>
      <name val="Consolas"/>
      <family val="3"/>
    </font>
    <font>
      <b/>
      <sz val="28"/>
      <color theme="1"/>
      <name val="Consolas"/>
      <family val="3"/>
    </font>
    <font>
      <b/>
      <sz val="20"/>
      <color theme="1"/>
      <name val="Consolas"/>
      <family val="3"/>
    </font>
    <font>
      <b/>
      <sz val="18"/>
      <color theme="1"/>
      <name val="Calibri"/>
      <family val="2"/>
      <scheme val="minor"/>
    </font>
    <font>
      <b/>
      <i/>
      <sz val="20"/>
      <color theme="1"/>
      <name val="Consolas"/>
      <family val="3"/>
    </font>
    <font>
      <i/>
      <sz val="11"/>
      <color theme="1"/>
      <name val="Calibri"/>
      <family val="2"/>
      <scheme val="minor"/>
    </font>
    <font>
      <sz val="11"/>
      <color rgb="FFED0000"/>
      <name val="Calibri"/>
      <family val="2"/>
      <scheme val="minor"/>
    </font>
    <font>
      <sz val="24"/>
      <color rgb="FFFF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7C1E2"/>
        <bgColor indexed="64"/>
      </patternFill>
    </fill>
    <fill>
      <patternFill patternType="solid">
        <fgColor rgb="FFFFFF9B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66FF3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69">
    <xf numFmtId="0" fontId="0" fillId="0" borderId="0" xfId="0"/>
    <xf numFmtId="0" fontId="2" fillId="0" borderId="0" xfId="0" applyFont="1"/>
    <xf numFmtId="0" fontId="3" fillId="0" borderId="0" xfId="0" applyFont="1"/>
    <xf numFmtId="0" fontId="3" fillId="2" borderId="0" xfId="0" applyFont="1" applyFill="1"/>
    <xf numFmtId="0" fontId="2" fillId="0" borderId="1" xfId="0" applyFont="1" applyBorder="1"/>
    <xf numFmtId="0" fontId="4" fillId="0" borderId="0" xfId="0" applyFont="1" applyAlignment="1">
      <alignment horizontal="left" vertical="center" readingOrder="1"/>
    </xf>
    <xf numFmtId="0" fontId="3" fillId="0" borderId="1" xfId="0" applyFont="1" applyBorder="1"/>
    <xf numFmtId="0" fontId="3" fillId="2" borderId="1" xfId="0" applyFont="1" applyFill="1" applyBorder="1"/>
    <xf numFmtId="0" fontId="5" fillId="0" borderId="0" xfId="1"/>
    <xf numFmtId="0" fontId="2" fillId="0" borderId="0" xfId="0" applyFont="1" applyAlignment="1">
      <alignment horizontal="left"/>
    </xf>
    <xf numFmtId="0" fontId="1" fillId="0" borderId="0" xfId="0" applyFont="1"/>
    <xf numFmtId="0" fontId="2" fillId="2" borderId="0" xfId="0" applyFont="1" applyFill="1"/>
    <xf numFmtId="0" fontId="8" fillId="0" borderId="0" xfId="0" applyFont="1"/>
    <xf numFmtId="164" fontId="3" fillId="5" borderId="0" xfId="0" applyNumberFormat="1" applyFont="1" applyFill="1"/>
    <xf numFmtId="164" fontId="3" fillId="3" borderId="0" xfId="0" applyNumberFormat="1" applyFont="1" applyFill="1"/>
    <xf numFmtId="165" fontId="2" fillId="0" borderId="0" xfId="0" applyNumberFormat="1" applyFont="1"/>
    <xf numFmtId="165" fontId="3" fillId="2" borderId="0" xfId="0" applyNumberFormat="1" applyFont="1" applyFill="1"/>
    <xf numFmtId="165" fontId="3" fillId="6" borderId="0" xfId="0" applyNumberFormat="1" applyFont="1" applyFill="1"/>
    <xf numFmtId="165" fontId="3" fillId="7" borderId="0" xfId="0" applyNumberFormat="1" applyFont="1" applyFill="1"/>
    <xf numFmtId="0" fontId="3" fillId="0" borderId="4" xfId="0" applyFont="1" applyBorder="1"/>
    <xf numFmtId="0" fontId="2" fillId="0" borderId="8" xfId="0" applyFont="1" applyBorder="1"/>
    <xf numFmtId="0" fontId="2" fillId="0" borderId="3" xfId="0" applyFont="1" applyBorder="1"/>
    <xf numFmtId="0" fontId="2" fillId="0" borderId="6" xfId="0" applyFont="1" applyBorder="1"/>
    <xf numFmtId="0" fontId="2" fillId="0" borderId="9" xfId="0" applyFont="1" applyBorder="1"/>
    <xf numFmtId="14" fontId="2" fillId="2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6" fillId="2" borderId="1" xfId="1" applyFont="1" applyFill="1" applyBorder="1"/>
    <xf numFmtId="0" fontId="6" fillId="3" borderId="1" xfId="1" applyFont="1" applyFill="1" applyBorder="1"/>
    <xf numFmtId="0" fontId="6" fillId="4" borderId="1" xfId="1" applyFont="1" applyFill="1" applyBorder="1"/>
    <xf numFmtId="0" fontId="2" fillId="0" borderId="3" xfId="0" quotePrefix="1" applyFont="1" applyBorder="1"/>
    <xf numFmtId="0" fontId="10" fillId="0" borderId="0" xfId="0" applyFont="1"/>
    <xf numFmtId="0" fontId="9" fillId="0" borderId="0" xfId="0" quotePrefix="1" applyFont="1"/>
    <xf numFmtId="0" fontId="6" fillId="0" borderId="1" xfId="1" applyFont="1" applyBorder="1" applyAlignment="1">
      <alignment horizontal="right"/>
    </xf>
    <xf numFmtId="0" fontId="6" fillId="8" borderId="1" xfId="1" applyFont="1" applyFill="1" applyBorder="1"/>
    <xf numFmtId="0" fontId="6" fillId="9" borderId="1" xfId="1" applyFont="1" applyFill="1" applyBorder="1"/>
    <xf numFmtId="0" fontId="6" fillId="10" borderId="1" xfId="1" applyFont="1" applyFill="1" applyBorder="1" applyAlignment="1">
      <alignment horizontal="right"/>
    </xf>
    <xf numFmtId="0" fontId="6" fillId="6" borderId="1" xfId="1" applyFont="1" applyFill="1" applyBorder="1" applyAlignment="1">
      <alignment horizontal="right"/>
    </xf>
    <xf numFmtId="0" fontId="6" fillId="11" borderId="1" xfId="1" applyFont="1" applyFill="1" applyBorder="1" applyAlignment="1">
      <alignment horizontal="right"/>
    </xf>
    <xf numFmtId="0" fontId="6" fillId="12" borderId="1" xfId="1" applyFont="1" applyFill="1" applyBorder="1" applyAlignment="1">
      <alignment horizontal="right"/>
    </xf>
    <xf numFmtId="0" fontId="6" fillId="9" borderId="1" xfId="1" applyFont="1" applyFill="1" applyBorder="1" applyAlignment="1">
      <alignment horizontal="right"/>
    </xf>
    <xf numFmtId="0" fontId="6" fillId="13" borderId="1" xfId="1" applyFont="1" applyFill="1" applyBorder="1" applyAlignment="1">
      <alignment horizontal="right"/>
    </xf>
    <xf numFmtId="0" fontId="6" fillId="13" borderId="1" xfId="1" applyFont="1" applyFill="1" applyBorder="1"/>
    <xf numFmtId="0" fontId="0" fillId="0" borderId="8" xfId="0" applyBorder="1"/>
    <xf numFmtId="0" fontId="0" fillId="0" borderId="2" xfId="0" applyBorder="1"/>
    <xf numFmtId="0" fontId="0" fillId="0" borderId="5" xfId="0" applyBorder="1"/>
    <xf numFmtId="0" fontId="0" fillId="0" borderId="9" xfId="0" applyBorder="1"/>
    <xf numFmtId="0" fontId="0" fillId="0" borderId="7" xfId="0" applyBorder="1"/>
    <xf numFmtId="0" fontId="1" fillId="2" borderId="1" xfId="0" applyFont="1" applyFill="1" applyBorder="1"/>
    <xf numFmtId="0" fontId="1" fillId="0" borderId="0" xfId="0" applyFont="1" applyAlignment="1">
      <alignment horizontal="right"/>
    </xf>
    <xf numFmtId="0" fontId="1" fillId="0" borderId="1" xfId="0" applyFont="1" applyBorder="1"/>
    <xf numFmtId="0" fontId="7" fillId="2" borderId="0" xfId="0" applyFont="1" applyFill="1" applyAlignment="1">
      <alignment horizontal="left"/>
    </xf>
    <xf numFmtId="0" fontId="7" fillId="14" borderId="0" xfId="0" applyFont="1" applyFill="1"/>
    <xf numFmtId="0" fontId="7" fillId="15" borderId="0" xfId="0" applyFont="1" applyFill="1"/>
    <xf numFmtId="0" fontId="3" fillId="2" borderId="1" xfId="0" applyFont="1" applyFill="1" applyBorder="1" applyAlignment="1">
      <alignment wrapText="1"/>
    </xf>
    <xf numFmtId="0" fontId="1" fillId="2" borderId="1" xfId="0" applyFont="1" applyFill="1" applyBorder="1"/>
    <xf numFmtId="0" fontId="12" fillId="0" borderId="0" xfId="0" applyFont="1"/>
    <xf numFmtId="0" fontId="13" fillId="0" borderId="0" xfId="0" applyFont="1"/>
    <xf numFmtId="164" fontId="2" fillId="3" borderId="0" xfId="0" applyNumberFormat="1" applyFont="1" applyFill="1"/>
    <xf numFmtId="164" fontId="2" fillId="5" borderId="0" xfId="0" applyNumberFormat="1" applyFont="1" applyFill="1"/>
    <xf numFmtId="0" fontId="14" fillId="0" borderId="0" xfId="0" applyFont="1"/>
    <xf numFmtId="9" fontId="2" fillId="0" borderId="1" xfId="0" applyNumberFormat="1" applyFont="1" applyBorder="1"/>
    <xf numFmtId="14" fontId="5" fillId="3" borderId="1" xfId="1" applyNumberFormat="1" applyFill="1" applyBorder="1"/>
    <xf numFmtId="0" fontId="3" fillId="0" borderId="0" xfId="0" applyFont="1" applyAlignment="1">
      <alignment horizontal="center"/>
    </xf>
    <xf numFmtId="14" fontId="5" fillId="2" borderId="1" xfId="1" applyNumberFormat="1" applyFill="1" applyBorder="1"/>
    <xf numFmtId="22" fontId="2" fillId="2" borderId="10" xfId="0" applyNumberFormat="1" applyFont="1" applyFill="1" applyBorder="1" applyAlignment="1">
      <alignment vertical="center"/>
    </xf>
    <xf numFmtId="22" fontId="2" fillId="0" borderId="0" xfId="0" applyNumberFormat="1" applyFont="1"/>
    <xf numFmtId="22" fontId="2" fillId="2" borderId="11" xfId="0" applyNumberFormat="1" applyFont="1" applyFill="1" applyBorder="1" applyAlignment="1">
      <alignment vertical="center"/>
    </xf>
  </cellXfs>
  <cellStyles count="2"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colors>
    <mruColors>
      <color rgb="FF66FF33"/>
      <color rgb="FF00FFFF"/>
      <color rgb="FFFFFF9B"/>
      <color rgb="FFF7C1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601980</xdr:colOff>
      <xdr:row>7</xdr:row>
      <xdr:rowOff>7620</xdr:rowOff>
    </xdr:from>
    <xdr:to>
      <xdr:col>6</xdr:col>
      <xdr:colOff>1382468</xdr:colOff>
      <xdr:row>7</xdr:row>
      <xdr:rowOff>354330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1E74EC-5F5F-4A89-844D-2CD88955F5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7858"/>
        <a:stretch/>
      </xdr:blipFill>
      <xdr:spPr>
        <a:xfrm>
          <a:off x="5793105" y="2807970"/>
          <a:ext cx="1386278" cy="342900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>
    <xdr:from>
      <xdr:col>3</xdr:col>
      <xdr:colOff>60960</xdr:colOff>
      <xdr:row>5</xdr:row>
      <xdr:rowOff>76200</xdr:rowOff>
    </xdr:from>
    <xdr:to>
      <xdr:col>5</xdr:col>
      <xdr:colOff>0</xdr:colOff>
      <xdr:row>6</xdr:row>
      <xdr:rowOff>350520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A8F5D43E-AD07-4BC6-AA5A-CEAC3144AF2D}"/>
            </a:ext>
          </a:extLst>
        </xdr:cNvPr>
        <xdr:cNvCxnSpPr/>
      </xdr:nvCxnSpPr>
      <xdr:spPr>
        <a:xfrm flipH="1">
          <a:off x="4030980" y="2065020"/>
          <a:ext cx="1158240" cy="670560"/>
        </a:xfrm>
        <a:prstGeom prst="straightConnector1">
          <a:avLst/>
        </a:prstGeom>
        <a:ln w="762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7EEE5-7B6A-4FC1-A858-3753B895CA00}">
  <dimension ref="A1:C11"/>
  <sheetViews>
    <sheetView zoomScale="190" zoomScaleNormal="190" workbookViewId="0">
      <selection activeCell="A2" sqref="A1:A2"/>
    </sheetView>
  </sheetViews>
  <sheetFormatPr defaultRowHeight="15" x14ac:dyDescent="0.25"/>
  <sheetData>
    <row r="1" spans="1:3" x14ac:dyDescent="0.25">
      <c r="A1" s="10" t="s">
        <v>74</v>
      </c>
    </row>
    <row r="2" spans="1:3" x14ac:dyDescent="0.25">
      <c r="A2" s="57" t="s">
        <v>75</v>
      </c>
    </row>
    <row r="5" spans="1:3" x14ac:dyDescent="0.25">
      <c r="A5" s="50" t="s">
        <v>70</v>
      </c>
      <c r="B5" s="51">
        <v>10</v>
      </c>
    </row>
    <row r="6" spans="1:3" x14ac:dyDescent="0.25">
      <c r="B6" s="51">
        <v>25</v>
      </c>
    </row>
    <row r="7" spans="1:3" x14ac:dyDescent="0.25">
      <c r="B7" s="51">
        <v>15</v>
      </c>
    </row>
    <row r="8" spans="1:3" x14ac:dyDescent="0.25">
      <c r="B8" s="51">
        <v>35</v>
      </c>
    </row>
    <row r="9" spans="1:3" x14ac:dyDescent="0.25">
      <c r="A9" s="50" t="s">
        <v>41</v>
      </c>
      <c r="B9" s="49">
        <f>SUBTOTAL(9,B5:B8)</f>
        <v>85</v>
      </c>
      <c r="C9" s="58" t="s">
        <v>76</v>
      </c>
    </row>
    <row r="10" spans="1:3" x14ac:dyDescent="0.25">
      <c r="A10" s="50" t="s">
        <v>71</v>
      </c>
      <c r="B10" s="49">
        <f>COUNT(B5:B8)</f>
        <v>4</v>
      </c>
    </row>
    <row r="11" spans="1:3" x14ac:dyDescent="0.25">
      <c r="A11" s="50" t="s">
        <v>72</v>
      </c>
      <c r="B11" s="49">
        <f>AVERAGE(B5:B8)</f>
        <v>21.25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N30"/>
  <sheetViews>
    <sheetView topLeftCell="A2" workbookViewId="0">
      <selection activeCell="C12" sqref="C12"/>
    </sheetView>
  </sheetViews>
  <sheetFormatPr defaultRowHeight="15" x14ac:dyDescent="0.25"/>
  <cols>
    <col min="1" max="1" width="31.42578125" customWidth="1"/>
    <col min="2" max="2" width="18.140625" customWidth="1"/>
    <col min="3" max="3" width="54.28515625" customWidth="1"/>
  </cols>
  <sheetData>
    <row r="1" spans="1:14" ht="31.5" x14ac:dyDescent="0.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31.5" x14ac:dyDescent="0.5">
      <c r="A2" s="1"/>
      <c r="B2" s="4">
        <v>10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31.5" x14ac:dyDescent="0.5">
      <c r="A3" s="1"/>
      <c r="B3" s="4">
        <v>20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31.5" x14ac:dyDescent="0.5">
      <c r="A4" s="1"/>
      <c r="B4" s="4">
        <v>30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1.5" x14ac:dyDescent="0.5">
      <c r="A5" s="1"/>
      <c r="B5" s="4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31.5" x14ac:dyDescent="0.5">
      <c r="A6" s="1"/>
      <c r="B6" s="4">
        <v>50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ht="31.5" x14ac:dyDescent="0.5">
      <c r="A7" s="1"/>
      <c r="B7" s="4" t="s">
        <v>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31.5" x14ac:dyDescent="0.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ht="31.5" x14ac:dyDescent="0.5">
      <c r="A9" s="52" t="s">
        <v>16</v>
      </c>
      <c r="B9" s="1" t="s">
        <v>19</v>
      </c>
      <c r="D9" s="9"/>
      <c r="E9" s="9"/>
      <c r="F9" s="9"/>
      <c r="G9" s="1"/>
      <c r="H9" s="1"/>
      <c r="I9" s="1"/>
      <c r="J9" s="1"/>
      <c r="K9" s="1"/>
      <c r="L9" s="1"/>
      <c r="M9" s="1"/>
      <c r="N9" s="1"/>
    </row>
    <row r="10" spans="1:14" ht="13.15" customHeight="1" x14ac:dyDescent="0.5"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ht="31.5" x14ac:dyDescent="0.5">
      <c r="A11" s="53" t="s">
        <v>18</v>
      </c>
      <c r="B11" s="1" t="s">
        <v>73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ht="12" customHeight="1" x14ac:dyDescent="0.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ht="31.5" x14ac:dyDescent="0.5">
      <c r="A13" s="54" t="s">
        <v>17</v>
      </c>
      <c r="B13" s="1" t="s">
        <v>20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ht="31.5" x14ac:dyDescent="0.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ht="31.5" x14ac:dyDescent="0.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ht="31.5" x14ac:dyDescent="0.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ht="31.5" x14ac:dyDescent="0.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ht="31.5" x14ac:dyDescent="0.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ht="31.5" x14ac:dyDescent="0.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ht="31.5" x14ac:dyDescent="0.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ht="31.5" x14ac:dyDescent="0.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ht="31.5" x14ac:dyDescent="0.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ht="31.5" x14ac:dyDescent="0.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ht="31.5" x14ac:dyDescent="0.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ht="31.5" x14ac:dyDescent="0.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ht="31.5" x14ac:dyDescent="0.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ht="31.5" x14ac:dyDescent="0.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ht="31.5" x14ac:dyDescent="0.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ht="31.5" x14ac:dyDescent="0.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ht="31.5" x14ac:dyDescent="0.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I21"/>
  <sheetViews>
    <sheetView topLeftCell="A3" workbookViewId="0">
      <selection activeCell="G13" sqref="G13"/>
    </sheetView>
  </sheetViews>
  <sheetFormatPr defaultRowHeight="15" x14ac:dyDescent="0.25"/>
  <cols>
    <col min="1" max="1" width="27.85546875" customWidth="1"/>
    <col min="2" max="2" width="20.42578125" customWidth="1"/>
    <col min="4" max="4" width="21.5703125" customWidth="1"/>
    <col min="5" max="5" width="45.140625" bestFit="1" customWidth="1"/>
  </cols>
  <sheetData>
    <row r="1" spans="1:9" ht="31.5" x14ac:dyDescent="0.5">
      <c r="A1" s="1"/>
      <c r="B1" s="1"/>
      <c r="C1" s="2" t="s">
        <v>22</v>
      </c>
      <c r="D1" s="10"/>
      <c r="E1" s="1"/>
      <c r="F1" s="1"/>
      <c r="G1" s="1"/>
      <c r="H1" s="1"/>
      <c r="I1" s="1"/>
    </row>
    <row r="2" spans="1:9" ht="35.25" x14ac:dyDescent="0.5">
      <c r="A2" s="12" t="s">
        <v>21</v>
      </c>
      <c r="B2" s="3">
        <v>-3</v>
      </c>
      <c r="C2" s="1"/>
      <c r="D2" s="11">
        <f>ABS(B2)</f>
        <v>3</v>
      </c>
      <c r="E2" s="1"/>
      <c r="F2" s="1"/>
      <c r="G2" s="1"/>
      <c r="H2" s="1"/>
      <c r="I2" s="1"/>
    </row>
    <row r="3" spans="1:9" ht="35.25" x14ac:dyDescent="0.5">
      <c r="A3" s="12"/>
      <c r="B3" s="3">
        <v>3</v>
      </c>
      <c r="C3" s="1"/>
      <c r="D3" s="11">
        <f>ABS(B3)</f>
        <v>3</v>
      </c>
      <c r="E3" s="1"/>
      <c r="F3" s="1"/>
      <c r="G3" s="1"/>
      <c r="H3" s="1"/>
      <c r="I3" s="1"/>
    </row>
    <row r="4" spans="1:9" ht="35.25" x14ac:dyDescent="0.5">
      <c r="A4" s="12"/>
      <c r="B4" s="1"/>
      <c r="C4" s="1"/>
      <c r="D4" s="1"/>
      <c r="E4" s="1"/>
      <c r="F4" s="1"/>
      <c r="G4" s="1"/>
      <c r="H4" s="1"/>
      <c r="I4" s="1"/>
    </row>
    <row r="5" spans="1:9" ht="35.25" x14ac:dyDescent="0.5">
      <c r="A5" s="12"/>
      <c r="B5" s="1"/>
      <c r="C5" s="2" t="s">
        <v>23</v>
      </c>
      <c r="D5" s="1"/>
      <c r="E5" s="1"/>
      <c r="F5" s="1"/>
      <c r="G5" s="1"/>
      <c r="H5" s="1"/>
      <c r="I5" s="1"/>
    </row>
    <row r="6" spans="1:9" ht="35.25" x14ac:dyDescent="0.5">
      <c r="A6" s="12" t="s">
        <v>25</v>
      </c>
      <c r="B6" s="14">
        <v>3.6666660000000002</v>
      </c>
      <c r="C6" s="1"/>
      <c r="D6" s="59">
        <f>INT(B6)</f>
        <v>3</v>
      </c>
      <c r="E6" s="1"/>
      <c r="F6" s="1"/>
      <c r="G6" s="1"/>
      <c r="H6" s="1"/>
      <c r="I6" s="1"/>
    </row>
    <row r="7" spans="1:9" ht="35.25" x14ac:dyDescent="0.5">
      <c r="A7" s="12"/>
      <c r="B7" s="1"/>
      <c r="C7" s="1"/>
      <c r="D7" s="1"/>
      <c r="E7" s="1"/>
      <c r="F7" s="1"/>
      <c r="G7" s="1"/>
      <c r="H7" s="1"/>
      <c r="I7" s="1"/>
    </row>
    <row r="8" spans="1:9" ht="35.25" x14ac:dyDescent="0.5">
      <c r="A8" s="12"/>
      <c r="B8" s="1"/>
      <c r="C8" s="2" t="s">
        <v>24</v>
      </c>
      <c r="D8" s="1"/>
      <c r="E8" s="64" t="s">
        <v>77</v>
      </c>
      <c r="F8" s="1"/>
      <c r="G8" s="1"/>
      <c r="H8" s="1"/>
      <c r="I8" s="1"/>
    </row>
    <row r="9" spans="1:9" ht="35.25" x14ac:dyDescent="0.5">
      <c r="A9" s="12" t="s">
        <v>26</v>
      </c>
      <c r="B9" s="13">
        <v>3.6666660000000002</v>
      </c>
      <c r="C9" s="1"/>
      <c r="D9" s="60">
        <f>ROUND(B9,E9)</f>
        <v>3.67</v>
      </c>
      <c r="E9" s="1">
        <v>2</v>
      </c>
      <c r="F9" s="1"/>
      <c r="G9" s="1"/>
      <c r="H9" s="1"/>
      <c r="I9" s="1"/>
    </row>
    <row r="10" spans="1:9" ht="31.5" x14ac:dyDescent="0.5">
      <c r="A10" s="1"/>
      <c r="B10" s="13">
        <v>3.6666660000000002</v>
      </c>
      <c r="C10" s="1"/>
      <c r="D10" s="60">
        <f t="shared" ref="D10:D12" si="0">ROUND(B10,E10+1)</f>
        <v>3.6667000000000001</v>
      </c>
      <c r="E10" s="1">
        <f>E9+1</f>
        <v>3</v>
      </c>
      <c r="F10" s="1"/>
      <c r="G10" s="1"/>
      <c r="H10" s="1"/>
      <c r="I10" s="1"/>
    </row>
    <row r="11" spans="1:9" ht="31.5" x14ac:dyDescent="0.5">
      <c r="A11" s="1"/>
      <c r="B11" s="13">
        <v>3.6666660000000002</v>
      </c>
      <c r="C11" s="1"/>
      <c r="D11" s="60">
        <f t="shared" si="0"/>
        <v>3.6666699999999999</v>
      </c>
      <c r="E11" s="1">
        <f t="shared" ref="E11:E12" si="1">E10+1</f>
        <v>4</v>
      </c>
      <c r="F11" s="1"/>
      <c r="G11" s="1"/>
      <c r="H11" s="1"/>
      <c r="I11" s="1"/>
    </row>
    <row r="12" spans="1:9" ht="31.5" x14ac:dyDescent="0.5">
      <c r="A12" s="1"/>
      <c r="B12" s="13">
        <v>3.6666660000000002</v>
      </c>
      <c r="C12" s="1"/>
      <c r="D12" s="60">
        <f t="shared" si="0"/>
        <v>3.6666660000000002</v>
      </c>
      <c r="E12" s="1">
        <f t="shared" si="1"/>
        <v>5</v>
      </c>
      <c r="F12" s="61" t="s">
        <v>78</v>
      </c>
      <c r="H12" s="1"/>
      <c r="I12" s="1"/>
    </row>
    <row r="13" spans="1:9" ht="31.5" x14ac:dyDescent="0.5">
      <c r="A13" s="1"/>
      <c r="B13" s="1"/>
      <c r="C13" s="1"/>
      <c r="D13" s="1"/>
      <c r="E13" s="1"/>
      <c r="F13" s="1"/>
      <c r="G13" s="61" t="s">
        <v>80</v>
      </c>
      <c r="H13" s="1"/>
      <c r="I13" s="1"/>
    </row>
    <row r="14" spans="1:9" ht="31.5" x14ac:dyDescent="0.5">
      <c r="A14" s="1"/>
      <c r="B14" s="1"/>
      <c r="C14" s="1"/>
      <c r="D14" s="1"/>
      <c r="E14" s="1"/>
      <c r="F14" s="1"/>
      <c r="G14" s="1"/>
      <c r="H14" s="1"/>
      <c r="I14" s="1"/>
    </row>
    <row r="15" spans="1:9" ht="31.5" x14ac:dyDescent="0.5">
      <c r="A15" s="1"/>
      <c r="B15" s="1"/>
      <c r="C15" s="1"/>
      <c r="D15" s="1"/>
      <c r="E15" s="1"/>
      <c r="F15" s="1"/>
      <c r="G15" s="1"/>
      <c r="H15" s="1"/>
      <c r="I15" s="1"/>
    </row>
    <row r="16" spans="1:9" ht="31.5" x14ac:dyDescent="0.5">
      <c r="A16" s="1"/>
      <c r="B16" s="1"/>
      <c r="C16" s="1"/>
      <c r="D16" s="1"/>
      <c r="E16" s="1"/>
      <c r="F16" s="1"/>
      <c r="G16" s="1"/>
      <c r="H16" s="1"/>
      <c r="I16" s="1"/>
    </row>
    <row r="17" spans="1:9" ht="31.5" x14ac:dyDescent="0.5">
      <c r="A17" s="1"/>
      <c r="B17" s="1"/>
      <c r="C17" s="1"/>
      <c r="D17" s="1"/>
      <c r="E17" s="1"/>
      <c r="F17" s="1"/>
      <c r="G17" s="1"/>
      <c r="H17" s="1"/>
      <c r="I17" s="1"/>
    </row>
    <row r="18" spans="1:9" ht="31.5" x14ac:dyDescent="0.5">
      <c r="A18" s="1"/>
      <c r="B18" s="1"/>
      <c r="C18" s="1"/>
      <c r="D18" s="1"/>
      <c r="E18" s="1"/>
      <c r="F18" s="1"/>
      <c r="G18" s="1"/>
      <c r="H18" s="1"/>
      <c r="I18" s="1"/>
    </row>
    <row r="19" spans="1:9" ht="31.5" x14ac:dyDescent="0.5">
      <c r="A19" s="1"/>
      <c r="B19" s="1"/>
      <c r="C19" s="1"/>
      <c r="D19" s="1"/>
      <c r="E19" s="1"/>
      <c r="F19" s="1"/>
      <c r="G19" s="1"/>
      <c r="H19" s="1"/>
      <c r="I19" s="1"/>
    </row>
    <row r="20" spans="1:9" ht="31.5" x14ac:dyDescent="0.5">
      <c r="A20" s="1"/>
      <c r="B20" s="1"/>
      <c r="C20" s="1"/>
      <c r="D20" s="1"/>
      <c r="E20" s="1"/>
      <c r="F20" s="1"/>
      <c r="G20" s="1"/>
      <c r="H20" s="1"/>
      <c r="I20" s="1"/>
    </row>
    <row r="21" spans="1:9" ht="31.5" x14ac:dyDescent="0.5">
      <c r="A21" s="1"/>
      <c r="B21" s="1"/>
      <c r="C21" s="1"/>
      <c r="D21" s="1"/>
      <c r="E21" s="1"/>
      <c r="F21" s="1"/>
      <c r="G21" s="1"/>
      <c r="H21" s="1"/>
      <c r="I21" s="1"/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J26"/>
  <sheetViews>
    <sheetView workbookViewId="0">
      <selection activeCell="E8" sqref="E8"/>
    </sheetView>
  </sheetViews>
  <sheetFormatPr defaultRowHeight="15" x14ac:dyDescent="0.25"/>
  <cols>
    <col min="1" max="1" width="21.42578125" customWidth="1"/>
    <col min="2" max="2" width="18.5703125" customWidth="1"/>
    <col min="4" max="4" width="15.28515625" bestFit="1" customWidth="1"/>
  </cols>
  <sheetData>
    <row r="1" spans="1:10" ht="31.5" x14ac:dyDescent="0.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31.5" x14ac:dyDescent="0.5">
      <c r="A2" s="1"/>
      <c r="B2" s="15">
        <v>10.25</v>
      </c>
      <c r="C2" s="1"/>
      <c r="D2" s="1"/>
      <c r="E2" s="1"/>
      <c r="F2" s="1"/>
      <c r="G2" s="1"/>
      <c r="H2" s="1"/>
      <c r="I2" s="1"/>
      <c r="J2" s="1"/>
    </row>
    <row r="3" spans="1:10" ht="31.5" x14ac:dyDescent="0.5">
      <c r="A3" s="1"/>
      <c r="B3" s="15">
        <v>5.68</v>
      </c>
      <c r="C3" s="1"/>
      <c r="D3" s="1"/>
      <c r="E3" s="1"/>
      <c r="F3" s="1"/>
      <c r="G3" s="1"/>
      <c r="H3" s="1"/>
      <c r="I3" s="1"/>
      <c r="J3" s="1"/>
    </row>
    <row r="4" spans="1:10" ht="31.5" x14ac:dyDescent="0.5">
      <c r="A4" s="1"/>
      <c r="B4" s="15">
        <v>8.2899999999999991</v>
      </c>
      <c r="C4" s="1"/>
      <c r="D4" s="1"/>
      <c r="E4" s="1"/>
      <c r="F4" s="1"/>
      <c r="G4" s="1"/>
      <c r="H4" s="1"/>
      <c r="I4" s="1"/>
      <c r="J4" s="1"/>
    </row>
    <row r="5" spans="1:10" ht="31.5" x14ac:dyDescent="0.5">
      <c r="A5" s="2" t="s">
        <v>43</v>
      </c>
      <c r="B5" s="16">
        <f>SUM(B2:B4)</f>
        <v>24.22</v>
      </c>
      <c r="C5" s="1"/>
      <c r="D5" s="2" t="s">
        <v>79</v>
      </c>
      <c r="E5" s="1"/>
      <c r="F5" s="1"/>
      <c r="G5" s="1"/>
      <c r="H5" s="1"/>
      <c r="I5" s="1"/>
      <c r="J5" s="1"/>
    </row>
    <row r="6" spans="1:10" ht="31.5" x14ac:dyDescent="0.5">
      <c r="A6" s="2" t="s">
        <v>42</v>
      </c>
      <c r="B6" s="18">
        <f>SUM(B2:B4)*D6</f>
        <v>4.8440000000000003</v>
      </c>
      <c r="C6" s="1"/>
      <c r="D6" s="62">
        <v>0.2</v>
      </c>
      <c r="E6" s="1"/>
      <c r="F6" s="1"/>
      <c r="G6" s="1"/>
      <c r="H6" s="1"/>
      <c r="I6" s="1"/>
      <c r="J6" s="1"/>
    </row>
    <row r="7" spans="1:10" ht="31.5" x14ac:dyDescent="0.5">
      <c r="A7" s="2" t="s">
        <v>41</v>
      </c>
      <c r="B7" s="17">
        <f>SUM(SUM(B2:B4),B5*D6)</f>
        <v>29.064</v>
      </c>
      <c r="C7" s="1"/>
      <c r="D7" s="1"/>
      <c r="E7" s="61" t="s">
        <v>81</v>
      </c>
      <c r="F7" s="1"/>
      <c r="G7" s="1"/>
      <c r="H7" s="1"/>
      <c r="I7" s="1"/>
      <c r="J7" s="1"/>
    </row>
    <row r="8" spans="1:10" ht="31.5" x14ac:dyDescent="0.5">
      <c r="A8" s="2"/>
      <c r="E8" s="1"/>
      <c r="F8" s="1"/>
      <c r="G8" s="1"/>
      <c r="H8" s="1"/>
      <c r="I8" s="1"/>
      <c r="J8" s="1"/>
    </row>
    <row r="9" spans="1:10" ht="31.5" x14ac:dyDescent="0.5">
      <c r="E9" s="1"/>
      <c r="F9" s="1"/>
      <c r="G9" s="1"/>
      <c r="H9" s="1"/>
      <c r="I9" s="1"/>
      <c r="J9" s="1"/>
    </row>
    <row r="10" spans="1:10" ht="31.5" x14ac:dyDescent="0.5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ht="31.5" x14ac:dyDescent="0.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31.5" x14ac:dyDescent="0.5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31.5" x14ac:dyDescent="0.5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31.5" x14ac:dyDescent="0.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31.5" x14ac:dyDescent="0.5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ht="31.5" x14ac:dyDescent="0.5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ht="31.5" x14ac:dyDescent="0.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ht="31.5" x14ac:dyDescent="0.5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ht="31.5" x14ac:dyDescent="0.5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ht="31.5" x14ac:dyDescent="0.5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ht="31.5" x14ac:dyDescent="0.5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ht="31.5" x14ac:dyDescent="0.5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ht="31.5" x14ac:dyDescent="0.5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ht="31.5" x14ac:dyDescent="0.5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31.5" x14ac:dyDescent="0.5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ht="31.5" x14ac:dyDescent="0.5">
      <c r="A26" s="1"/>
      <c r="B26" s="1"/>
      <c r="C26" s="1"/>
      <c r="D26" s="1"/>
      <c r="E26" s="1"/>
      <c r="F26" s="1"/>
      <c r="G26" s="1"/>
      <c r="H26" s="1"/>
      <c r="I26" s="1"/>
      <c r="J26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3"/>
  <dimension ref="C2:D4"/>
  <sheetViews>
    <sheetView topLeftCell="B1" zoomScale="200" workbookViewId="0">
      <selection activeCell="D4" sqref="D4"/>
    </sheetView>
  </sheetViews>
  <sheetFormatPr defaultColWidth="8.85546875" defaultRowHeight="12.75" x14ac:dyDescent="0.2"/>
  <cols>
    <col min="1" max="1" width="10.28515625" style="8" customWidth="1"/>
    <col min="2" max="2" width="8.85546875" style="8"/>
    <col min="3" max="3" width="21.140625" style="8" bestFit="1" customWidth="1"/>
    <col min="4" max="4" width="10.5703125" style="8" bestFit="1" customWidth="1"/>
    <col min="5" max="16384" width="8.85546875" style="8"/>
  </cols>
  <sheetData>
    <row r="2" spans="3:4" x14ac:dyDescent="0.2">
      <c r="C2" s="29" t="s">
        <v>1</v>
      </c>
      <c r="D2" s="63">
        <f ca="1">TODAY()</f>
        <v>45925</v>
      </c>
    </row>
    <row r="3" spans="3:4" x14ac:dyDescent="0.2">
      <c r="C3" s="28" t="s">
        <v>82</v>
      </c>
      <c r="D3" s="65">
        <v>46022</v>
      </c>
    </row>
    <row r="4" spans="3:4" x14ac:dyDescent="0.2">
      <c r="C4" s="30" t="s">
        <v>83</v>
      </c>
      <c r="D4" s="30">
        <f ca="1">D3-D2</f>
        <v>97</v>
      </c>
    </row>
  </sheetData>
  <pageMargins left="0.75" right="0.75" top="1" bottom="1" header="0.5" footer="0.5"/>
  <pageSetup orientation="portrait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O26"/>
  <sheetViews>
    <sheetView workbookViewId="0">
      <selection activeCell="C8" sqref="C8"/>
    </sheetView>
  </sheetViews>
  <sheetFormatPr defaultRowHeight="15" x14ac:dyDescent="0.25"/>
  <cols>
    <col min="2" max="2" width="21.28515625" bestFit="1" customWidth="1"/>
    <col min="3" max="3" width="27.7109375" customWidth="1"/>
    <col min="7" max="7" width="21" customWidth="1"/>
    <col min="12" max="12" width="3.85546875" customWidth="1"/>
  </cols>
  <sheetData>
    <row r="1" spans="1:15" ht="32.25" thickBot="1" x14ac:dyDescent="0.5500000000000000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5" ht="31.5" x14ac:dyDescent="0.5">
      <c r="A2" s="1"/>
      <c r="B2" s="7" t="s">
        <v>1</v>
      </c>
      <c r="C2" s="24">
        <f ca="1">TODAY()</f>
        <v>45925</v>
      </c>
      <c r="D2" s="1"/>
      <c r="E2" s="1"/>
      <c r="F2" s="19" t="s">
        <v>44</v>
      </c>
      <c r="G2" s="20"/>
      <c r="H2" s="20"/>
      <c r="I2" s="20"/>
      <c r="J2" s="20"/>
      <c r="K2" s="20"/>
      <c r="L2" s="20"/>
      <c r="M2" s="44"/>
      <c r="N2" s="44"/>
      <c r="O2" s="45"/>
    </row>
    <row r="3" spans="1:15" ht="31.5" x14ac:dyDescent="0.5">
      <c r="A3" s="1"/>
      <c r="B3" s="6" t="s">
        <v>2</v>
      </c>
      <c r="C3" s="4">
        <f ca="1">MONTH(C2)</f>
        <v>9</v>
      </c>
      <c r="D3" s="1"/>
      <c r="E3" s="1"/>
      <c r="F3" s="21"/>
      <c r="G3" s="1" t="s">
        <v>47</v>
      </c>
      <c r="H3" s="1" t="s">
        <v>50</v>
      </c>
      <c r="I3" s="1"/>
      <c r="J3" s="1"/>
      <c r="K3" s="1"/>
      <c r="L3" s="1"/>
      <c r="O3" s="46"/>
    </row>
    <row r="4" spans="1:15" ht="31.5" x14ac:dyDescent="0.5">
      <c r="A4" s="1"/>
      <c r="B4" s="6" t="s">
        <v>3</v>
      </c>
      <c r="C4" s="4">
        <f ca="1">DAY(C2)</f>
        <v>25</v>
      </c>
      <c r="D4" s="1"/>
      <c r="E4" s="1"/>
      <c r="F4" s="21"/>
      <c r="G4" s="1" t="s">
        <v>45</v>
      </c>
      <c r="H4" s="1" t="s">
        <v>51</v>
      </c>
      <c r="I4" s="1"/>
      <c r="J4" s="1"/>
      <c r="K4" s="1"/>
      <c r="L4" s="1"/>
      <c r="O4" s="46"/>
    </row>
    <row r="5" spans="1:15" ht="31.5" x14ac:dyDescent="0.5">
      <c r="A5" s="1"/>
      <c r="B5" s="6" t="s">
        <v>4</v>
      </c>
      <c r="C5" s="4">
        <f ca="1">YEAR(C2)</f>
        <v>2025</v>
      </c>
      <c r="D5" s="1"/>
      <c r="E5" s="1"/>
      <c r="F5" s="21"/>
      <c r="G5" s="1" t="s">
        <v>49</v>
      </c>
      <c r="H5" s="1" t="s">
        <v>48</v>
      </c>
      <c r="I5" s="1"/>
      <c r="J5" s="1"/>
      <c r="K5" s="1"/>
      <c r="L5" s="1"/>
      <c r="O5" s="46"/>
    </row>
    <row r="6" spans="1:15" ht="31.5" x14ac:dyDescent="0.5">
      <c r="A6" s="1"/>
      <c r="B6" s="6" t="s">
        <v>5</v>
      </c>
      <c r="C6" s="4">
        <f ca="1">WEEKDAY(C2)</f>
        <v>5</v>
      </c>
      <c r="D6" s="1"/>
      <c r="E6" s="1"/>
      <c r="F6" s="21"/>
      <c r="G6" s="1" t="s">
        <v>52</v>
      </c>
      <c r="H6" s="1" t="s">
        <v>46</v>
      </c>
      <c r="I6" s="1"/>
      <c r="J6" s="1"/>
      <c r="K6" s="1"/>
      <c r="L6" s="1"/>
      <c r="O6" s="46"/>
    </row>
    <row r="7" spans="1:15" ht="31.5" x14ac:dyDescent="0.5">
      <c r="A7" s="1"/>
      <c r="B7" s="1"/>
      <c r="C7" s="1"/>
      <c r="D7" s="1"/>
      <c r="E7" s="1"/>
      <c r="F7" s="21"/>
      <c r="G7" s="1"/>
      <c r="H7" s="1"/>
      <c r="I7" s="1"/>
      <c r="J7" s="1"/>
      <c r="K7" s="1"/>
      <c r="L7" s="1"/>
      <c r="O7" s="46"/>
    </row>
    <row r="8" spans="1:15" ht="31.5" x14ac:dyDescent="0.5">
      <c r="A8" s="1"/>
      <c r="B8" s="6" t="s">
        <v>2</v>
      </c>
      <c r="C8" s="4" t="str">
        <f ca="1">TEXT(C2, "mmm")</f>
        <v>Sep</v>
      </c>
      <c r="D8" s="1"/>
      <c r="E8" s="1"/>
      <c r="F8" s="31"/>
      <c r="G8" s="1"/>
      <c r="H8" s="1"/>
      <c r="I8" s="1"/>
      <c r="J8" s="1"/>
      <c r="K8" s="1"/>
      <c r="L8" s="1"/>
      <c r="O8" s="46"/>
    </row>
    <row r="9" spans="1:15" ht="31.5" x14ac:dyDescent="0.5">
      <c r="A9" s="1"/>
      <c r="B9" s="6" t="s">
        <v>3</v>
      </c>
      <c r="C9" s="4" t="str">
        <f ca="1">TEXT(C2, "dddd")</f>
        <v>Thursday</v>
      </c>
      <c r="D9" s="1"/>
      <c r="E9" s="1"/>
      <c r="F9" s="21"/>
      <c r="G9" s="32" t="s">
        <v>58</v>
      </c>
      <c r="H9" s="1"/>
      <c r="I9" s="1"/>
      <c r="J9" s="1"/>
      <c r="K9" s="1"/>
      <c r="L9" s="1"/>
      <c r="O9" s="46"/>
    </row>
    <row r="10" spans="1:15" ht="31.5" x14ac:dyDescent="0.5">
      <c r="A10" s="1"/>
      <c r="B10" s="1"/>
      <c r="C10" s="1"/>
      <c r="D10" s="1"/>
      <c r="E10" s="1"/>
      <c r="F10" s="21"/>
      <c r="G10" s="33" t="s">
        <v>69</v>
      </c>
      <c r="H10" s="1"/>
      <c r="I10" s="1"/>
      <c r="J10" s="1"/>
      <c r="K10" s="1"/>
      <c r="L10" s="1"/>
      <c r="O10" s="46"/>
    </row>
    <row r="11" spans="1:15" ht="32.25" thickBot="1" x14ac:dyDescent="0.55000000000000004">
      <c r="A11" s="1"/>
      <c r="B11" s="1"/>
      <c r="C11" s="1"/>
      <c r="D11" s="1"/>
      <c r="E11" s="1"/>
      <c r="F11" s="22"/>
      <c r="G11" s="23"/>
      <c r="H11" s="23"/>
      <c r="I11" s="23"/>
      <c r="J11" s="23"/>
      <c r="K11" s="23"/>
      <c r="L11" s="23"/>
      <c r="M11" s="47"/>
      <c r="N11" s="47"/>
      <c r="O11" s="48"/>
    </row>
    <row r="12" spans="1:15" ht="31.5" x14ac:dyDescent="0.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5" ht="31.5" x14ac:dyDescent="0.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5" ht="31.5" x14ac:dyDescent="0.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5" ht="31.5" x14ac:dyDescent="0.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5" ht="31.5" x14ac:dyDescent="0.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ht="31.5" x14ac:dyDescent="0.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t="31.5" x14ac:dyDescent="0.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ht="31.5" x14ac:dyDescent="0.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ht="31.5" x14ac:dyDescent="0.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ht="31.5" x14ac:dyDescent="0.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ht="31.5" x14ac:dyDescent="0.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ht="31.5" x14ac:dyDescent="0.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ht="31.5" x14ac:dyDescent="0.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ht="31.5" x14ac:dyDescent="0.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ht="31.5" x14ac:dyDescent="0.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J21"/>
  <sheetViews>
    <sheetView tabSelected="1" workbookViewId="0">
      <selection activeCell="E5" sqref="E5"/>
    </sheetView>
  </sheetViews>
  <sheetFormatPr defaultRowHeight="15" x14ac:dyDescent="0.25"/>
  <cols>
    <col min="4" max="4" width="29.85546875" customWidth="1"/>
    <col min="5" max="5" width="39.28515625" customWidth="1"/>
    <col min="7" max="7" width="33.140625" bestFit="1" customWidth="1"/>
  </cols>
  <sheetData>
    <row r="1" spans="1:10" ht="31.5" x14ac:dyDescent="0.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31.5" x14ac:dyDescent="0.5">
      <c r="A2" s="1"/>
      <c r="B2" s="1"/>
      <c r="C2" s="1"/>
      <c r="D2" s="55" t="s">
        <v>6</v>
      </c>
      <c r="E2" s="66">
        <f ca="1">NOW()</f>
        <v>45925.716818402776</v>
      </c>
      <c r="F2" s="1"/>
      <c r="G2" s="67"/>
      <c r="H2" s="1"/>
      <c r="I2" s="1"/>
      <c r="J2" s="1"/>
    </row>
    <row r="3" spans="1:10" ht="31.5" x14ac:dyDescent="0.5">
      <c r="A3" s="1"/>
      <c r="B3" s="1"/>
      <c r="C3" s="1"/>
      <c r="D3" s="56"/>
      <c r="E3" s="68"/>
      <c r="F3" s="1"/>
      <c r="G3" s="1"/>
      <c r="H3" s="1"/>
      <c r="I3" s="1"/>
      <c r="J3" s="1"/>
    </row>
    <row r="4" spans="1:10" ht="31.5" x14ac:dyDescent="0.5">
      <c r="A4" s="1"/>
      <c r="B4" s="1"/>
      <c r="C4" s="1"/>
      <c r="D4" s="6" t="s">
        <v>7</v>
      </c>
      <c r="E4" s="4">
        <f ca="1">HOUR(E2)</f>
        <v>17</v>
      </c>
      <c r="F4" s="1"/>
      <c r="G4" s="1"/>
      <c r="H4" s="1"/>
      <c r="I4" s="1"/>
      <c r="J4" s="1"/>
    </row>
    <row r="5" spans="1:10" ht="31.5" x14ac:dyDescent="0.5">
      <c r="A5" s="1"/>
      <c r="B5" s="1"/>
      <c r="C5" s="1"/>
      <c r="D5" s="6" t="s">
        <v>8</v>
      </c>
      <c r="E5" s="4">
        <f ca="1">MINUTE(E2)</f>
        <v>12</v>
      </c>
      <c r="F5" s="1"/>
      <c r="G5" s="1"/>
      <c r="H5" s="1"/>
      <c r="I5" s="1"/>
      <c r="J5" s="1"/>
    </row>
    <row r="6" spans="1:10" ht="31.5" x14ac:dyDescent="0.5">
      <c r="A6" s="1"/>
      <c r="B6" s="1"/>
      <c r="C6" s="1"/>
      <c r="D6" s="6" t="s">
        <v>9</v>
      </c>
      <c r="E6" s="4">
        <f ca="1">SECOND(E2)</f>
        <v>13</v>
      </c>
      <c r="F6" s="1"/>
      <c r="G6" s="1"/>
      <c r="H6" s="1"/>
      <c r="I6" s="1"/>
      <c r="J6" s="1"/>
    </row>
    <row r="7" spans="1:10" ht="31.5" x14ac:dyDescent="0.5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ht="31.5" x14ac:dyDescent="0.5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ht="31.5" x14ac:dyDescent="0.5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ht="31.5" x14ac:dyDescent="0.5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ht="31.5" x14ac:dyDescent="0.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31.5" x14ac:dyDescent="0.5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31.5" x14ac:dyDescent="0.5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31.5" x14ac:dyDescent="0.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31.5" x14ac:dyDescent="0.5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ht="31.5" x14ac:dyDescent="0.5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ht="31.5" x14ac:dyDescent="0.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ht="31.5" x14ac:dyDescent="0.5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ht="31.5" x14ac:dyDescent="0.5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ht="31.5" x14ac:dyDescent="0.5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ht="31.5" x14ac:dyDescent="0.5">
      <c r="A21" s="1"/>
      <c r="B21" s="1"/>
      <c r="C21" s="1"/>
      <c r="D21" s="1"/>
      <c r="E21" s="1"/>
      <c r="F21" s="1"/>
      <c r="G21" s="1"/>
      <c r="H21" s="1"/>
      <c r="I21" s="1"/>
      <c r="J21" s="1"/>
    </row>
  </sheetData>
  <mergeCells count="2">
    <mergeCell ref="D2:D3"/>
    <mergeCell ref="E2:E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1DE6C-07B2-4160-8750-26DCFD1DA057}">
  <dimension ref="A1:B15"/>
  <sheetViews>
    <sheetView zoomScale="200" workbookViewId="0"/>
  </sheetViews>
  <sheetFormatPr defaultColWidth="8.85546875" defaultRowHeight="12.75" x14ac:dyDescent="0.2"/>
  <cols>
    <col min="1" max="3" width="8.85546875" style="8"/>
    <col min="4" max="4" width="9.28515625" style="8" customWidth="1"/>
    <col min="5" max="16384" width="8.85546875" style="8"/>
  </cols>
  <sheetData>
    <row r="1" spans="1:2" x14ac:dyDescent="0.2">
      <c r="A1" s="28" t="s">
        <v>40</v>
      </c>
      <c r="B1" s="35">
        <v>93</v>
      </c>
    </row>
    <row r="2" spans="1:2" x14ac:dyDescent="0.2">
      <c r="A2" s="29" t="s">
        <v>39</v>
      </c>
      <c r="B2" s="42"/>
    </row>
    <row r="4" spans="1:2" x14ac:dyDescent="0.2">
      <c r="A4" s="35">
        <v>0</v>
      </c>
      <c r="B4" s="43" t="s">
        <v>38</v>
      </c>
    </row>
    <row r="5" spans="1:2" x14ac:dyDescent="0.2">
      <c r="A5" s="35">
        <v>58</v>
      </c>
      <c r="B5" s="43" t="s">
        <v>37</v>
      </c>
    </row>
    <row r="6" spans="1:2" x14ac:dyDescent="0.2">
      <c r="A6" s="35">
        <v>61</v>
      </c>
      <c r="B6" s="43" t="s">
        <v>36</v>
      </c>
    </row>
    <row r="7" spans="1:2" x14ac:dyDescent="0.2">
      <c r="A7" s="35">
        <v>64</v>
      </c>
      <c r="B7" s="43" t="s">
        <v>35</v>
      </c>
    </row>
    <row r="8" spans="1:2" x14ac:dyDescent="0.2">
      <c r="A8" s="35">
        <v>67</v>
      </c>
      <c r="B8" s="43" t="s">
        <v>34</v>
      </c>
    </row>
    <row r="9" spans="1:2" x14ac:dyDescent="0.2">
      <c r="A9" s="35">
        <v>70</v>
      </c>
      <c r="B9" s="43" t="s">
        <v>33</v>
      </c>
    </row>
    <row r="10" spans="1:2" x14ac:dyDescent="0.2">
      <c r="A10" s="35">
        <v>73</v>
      </c>
      <c r="B10" s="43" t="s">
        <v>32</v>
      </c>
    </row>
    <row r="11" spans="1:2" x14ac:dyDescent="0.2">
      <c r="A11" s="35">
        <v>76</v>
      </c>
      <c r="B11" s="43" t="s">
        <v>31</v>
      </c>
    </row>
    <row r="12" spans="1:2" x14ac:dyDescent="0.2">
      <c r="A12" s="35">
        <v>80</v>
      </c>
      <c r="B12" s="43" t="s">
        <v>30</v>
      </c>
    </row>
    <row r="13" spans="1:2" x14ac:dyDescent="0.2">
      <c r="A13" s="35">
        <v>85</v>
      </c>
      <c r="B13" s="43" t="s">
        <v>29</v>
      </c>
    </row>
    <row r="14" spans="1:2" x14ac:dyDescent="0.2">
      <c r="A14" s="35">
        <v>90</v>
      </c>
      <c r="B14" s="43" t="s">
        <v>28</v>
      </c>
    </row>
    <row r="15" spans="1:2" x14ac:dyDescent="0.2">
      <c r="A15" s="35">
        <v>95</v>
      </c>
      <c r="B15" s="43" t="s">
        <v>27</v>
      </c>
    </row>
  </sheetData>
  <pageMargins left="0.75" right="0.75" top="1" bottom="1" header="0.5" footer="0.5"/>
  <pageSetup orientation="portrait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9140D-0EFF-400D-94AD-C978C4463311}">
  <dimension ref="A1:B15"/>
  <sheetViews>
    <sheetView zoomScale="200" workbookViewId="0">
      <selection activeCell="A16" sqref="A16"/>
    </sheetView>
  </sheetViews>
  <sheetFormatPr defaultColWidth="8.85546875" defaultRowHeight="12.75" x14ac:dyDescent="0.2"/>
  <cols>
    <col min="1" max="3" width="8.85546875" style="8"/>
    <col min="4" max="4" width="9.28515625" style="8" customWidth="1"/>
    <col min="5" max="16384" width="8.85546875" style="8"/>
  </cols>
  <sheetData>
    <row r="1" spans="1:2" x14ac:dyDescent="0.2">
      <c r="A1" s="28" t="s">
        <v>40</v>
      </c>
      <c r="B1" s="35">
        <v>93</v>
      </c>
    </row>
    <row r="2" spans="1:2" x14ac:dyDescent="0.2">
      <c r="A2" s="29" t="s">
        <v>39</v>
      </c>
      <c r="B2" s="42"/>
    </row>
    <row r="4" spans="1:2" x14ac:dyDescent="0.2">
      <c r="A4" s="35">
        <v>0</v>
      </c>
      <c r="B4" s="43" t="s">
        <v>38</v>
      </c>
    </row>
    <row r="5" spans="1:2" x14ac:dyDescent="0.2">
      <c r="A5" s="35">
        <v>58</v>
      </c>
      <c r="B5" s="43" t="s">
        <v>37</v>
      </c>
    </row>
    <row r="6" spans="1:2" x14ac:dyDescent="0.2">
      <c r="A6" s="35">
        <v>61</v>
      </c>
      <c r="B6" s="43" t="s">
        <v>36</v>
      </c>
    </row>
    <row r="7" spans="1:2" x14ac:dyDescent="0.2">
      <c r="A7" s="35">
        <v>64</v>
      </c>
      <c r="B7" s="43" t="s">
        <v>35</v>
      </c>
    </row>
    <row r="8" spans="1:2" x14ac:dyDescent="0.2">
      <c r="A8" s="35">
        <v>67</v>
      </c>
      <c r="B8" s="43" t="s">
        <v>34</v>
      </c>
    </row>
    <row r="9" spans="1:2" x14ac:dyDescent="0.2">
      <c r="A9" s="35">
        <v>70</v>
      </c>
      <c r="B9" s="43" t="s">
        <v>33</v>
      </c>
    </row>
    <row r="10" spans="1:2" x14ac:dyDescent="0.2">
      <c r="A10" s="35">
        <v>73</v>
      </c>
      <c r="B10" s="43" t="s">
        <v>32</v>
      </c>
    </row>
    <row r="11" spans="1:2" x14ac:dyDescent="0.2">
      <c r="A11" s="35">
        <v>76</v>
      </c>
      <c r="B11" s="43" t="s">
        <v>31</v>
      </c>
    </row>
    <row r="12" spans="1:2" x14ac:dyDescent="0.2">
      <c r="A12" s="35">
        <v>80</v>
      </c>
      <c r="B12" s="43" t="s">
        <v>30</v>
      </c>
    </row>
    <row r="13" spans="1:2" x14ac:dyDescent="0.2">
      <c r="A13" s="35">
        <v>85</v>
      </c>
      <c r="B13" s="43" t="s">
        <v>29</v>
      </c>
    </row>
    <row r="14" spans="1:2" x14ac:dyDescent="0.2">
      <c r="A14" s="35">
        <v>90</v>
      </c>
      <c r="B14" s="43" t="s">
        <v>28</v>
      </c>
    </row>
    <row r="15" spans="1:2" x14ac:dyDescent="0.2">
      <c r="A15" s="35">
        <v>95</v>
      </c>
      <c r="B15" s="43" t="s">
        <v>27</v>
      </c>
    </row>
  </sheetData>
  <pageMargins left="0.75" right="0.75" top="1" bottom="1" header="0.5" footer="0.5"/>
  <pageSetup orientation="portrait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E4F68-386E-4950-B655-981F3BFE83BC}">
  <dimension ref="A1:C10"/>
  <sheetViews>
    <sheetView zoomScale="200" workbookViewId="0">
      <selection activeCell="A16" sqref="A16"/>
    </sheetView>
  </sheetViews>
  <sheetFormatPr defaultColWidth="8.85546875" defaultRowHeight="12.75" x14ac:dyDescent="0.2"/>
  <cols>
    <col min="1" max="1" width="9.28515625" style="8" customWidth="1"/>
    <col min="2" max="16384" width="8.85546875" style="8"/>
  </cols>
  <sheetData>
    <row r="1" spans="1:3" x14ac:dyDescent="0.2">
      <c r="A1" s="40" t="s">
        <v>59</v>
      </c>
      <c r="B1" s="41">
        <v>12370</v>
      </c>
      <c r="C1" s="34"/>
    </row>
    <row r="2" spans="1:3" x14ac:dyDescent="0.2">
      <c r="A2" s="37" t="s">
        <v>60</v>
      </c>
      <c r="B2" s="38"/>
      <c r="C2" s="39"/>
    </row>
    <row r="4" spans="1:3" x14ac:dyDescent="0.2">
      <c r="A4" s="36">
        <v>12345</v>
      </c>
      <c r="B4" s="38" t="s">
        <v>0</v>
      </c>
      <c r="C4" s="39" t="s">
        <v>61</v>
      </c>
    </row>
    <row r="5" spans="1:3" x14ac:dyDescent="0.2">
      <c r="A5" s="36">
        <v>12350</v>
      </c>
      <c r="B5" s="38" t="s">
        <v>11</v>
      </c>
      <c r="C5" s="39" t="s">
        <v>62</v>
      </c>
    </row>
    <row r="6" spans="1:3" x14ac:dyDescent="0.2">
      <c r="A6" s="36">
        <v>12355</v>
      </c>
      <c r="B6" s="38" t="s">
        <v>15</v>
      </c>
      <c r="C6" s="39" t="s">
        <v>63</v>
      </c>
    </row>
    <row r="7" spans="1:3" x14ac:dyDescent="0.2">
      <c r="A7" s="36">
        <v>12360</v>
      </c>
      <c r="B7" s="38" t="s">
        <v>10</v>
      </c>
      <c r="C7" s="39" t="s">
        <v>64</v>
      </c>
    </row>
    <row r="8" spans="1:3" x14ac:dyDescent="0.2">
      <c r="A8" s="36">
        <v>12365</v>
      </c>
      <c r="B8" s="38" t="s">
        <v>12</v>
      </c>
      <c r="C8" s="39" t="s">
        <v>65</v>
      </c>
    </row>
    <row r="9" spans="1:3" x14ac:dyDescent="0.2">
      <c r="A9" s="36">
        <v>12370</v>
      </c>
      <c r="B9" s="38" t="s">
        <v>14</v>
      </c>
      <c r="C9" s="39" t="s">
        <v>66</v>
      </c>
    </row>
    <row r="10" spans="1:3" x14ac:dyDescent="0.2">
      <c r="A10" s="36">
        <v>12375</v>
      </c>
      <c r="B10" s="38" t="s">
        <v>13</v>
      </c>
      <c r="C10" s="39" t="s">
        <v>67</v>
      </c>
    </row>
  </sheetData>
  <pageMargins left="0.75" right="0.75" top="1" bottom="1" header="0.5" footer="0.5"/>
  <pageSetup orientation="portrait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8D885-65AF-47C0-81BF-5E5D276CD673}">
  <dimension ref="A1:C10"/>
  <sheetViews>
    <sheetView zoomScale="200" workbookViewId="0">
      <selection activeCell="A16" sqref="A16"/>
    </sheetView>
  </sheetViews>
  <sheetFormatPr defaultColWidth="8.85546875" defaultRowHeight="12.75" x14ac:dyDescent="0.2"/>
  <cols>
    <col min="1" max="1" width="9.28515625" style="8" customWidth="1"/>
    <col min="2" max="16384" width="8.85546875" style="8"/>
  </cols>
  <sheetData>
    <row r="1" spans="1:3" x14ac:dyDescent="0.2">
      <c r="A1" s="40" t="s">
        <v>59</v>
      </c>
      <c r="B1" s="41">
        <v>12370</v>
      </c>
      <c r="C1" s="34"/>
    </row>
    <row r="2" spans="1:3" x14ac:dyDescent="0.2">
      <c r="A2" s="37" t="s">
        <v>60</v>
      </c>
      <c r="B2" s="38"/>
      <c r="C2" s="39"/>
    </row>
    <row r="4" spans="1:3" x14ac:dyDescent="0.2">
      <c r="A4" s="36">
        <v>12345</v>
      </c>
      <c r="B4" s="38" t="s">
        <v>0</v>
      </c>
      <c r="C4" s="39" t="s">
        <v>61</v>
      </c>
    </row>
    <row r="5" spans="1:3" x14ac:dyDescent="0.2">
      <c r="A5" s="36">
        <v>12350</v>
      </c>
      <c r="B5" s="38" t="s">
        <v>11</v>
      </c>
      <c r="C5" s="39" t="s">
        <v>62</v>
      </c>
    </row>
    <row r="6" spans="1:3" x14ac:dyDescent="0.2">
      <c r="A6" s="36">
        <v>12355</v>
      </c>
      <c r="B6" s="38" t="s">
        <v>15</v>
      </c>
      <c r="C6" s="39" t="s">
        <v>63</v>
      </c>
    </row>
    <row r="7" spans="1:3" x14ac:dyDescent="0.2">
      <c r="A7" s="36">
        <v>12360</v>
      </c>
      <c r="B7" s="38" t="s">
        <v>10</v>
      </c>
      <c r="C7" s="39" t="s">
        <v>64</v>
      </c>
    </row>
    <row r="8" spans="1:3" x14ac:dyDescent="0.2">
      <c r="A8" s="36">
        <v>12365</v>
      </c>
      <c r="B8" s="38" t="s">
        <v>12</v>
      </c>
      <c r="C8" s="39" t="s">
        <v>65</v>
      </c>
    </row>
    <row r="9" spans="1:3" x14ac:dyDescent="0.2">
      <c r="A9" s="36">
        <v>12370</v>
      </c>
      <c r="B9" s="38" t="s">
        <v>14</v>
      </c>
      <c r="C9" s="39" t="s">
        <v>66</v>
      </c>
    </row>
    <row r="10" spans="1:3" x14ac:dyDescent="0.2">
      <c r="A10" s="36">
        <v>12375</v>
      </c>
      <c r="B10" s="38" t="s">
        <v>13</v>
      </c>
      <c r="C10" s="39" t="s">
        <v>67</v>
      </c>
    </row>
  </sheetData>
  <pageMargins left="0.75" right="0.75" top="1" bottom="1" header="0.5" footer="0.5"/>
  <pageSetup orientation="portrait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K26"/>
  <sheetViews>
    <sheetView workbookViewId="0">
      <selection activeCell="C3" sqref="C3"/>
    </sheetView>
  </sheetViews>
  <sheetFormatPr defaultRowHeight="15" x14ac:dyDescent="0.25"/>
  <cols>
    <col min="2" max="2" width="39.85546875" bestFit="1" customWidth="1"/>
    <col min="3" max="3" width="18.42578125" customWidth="1"/>
  </cols>
  <sheetData>
    <row r="1" spans="1:11" ht="31.5" x14ac:dyDescent="0.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55.5" x14ac:dyDescent="0.5">
      <c r="A2" s="5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46.5" customHeight="1" x14ac:dyDescent="0.5">
      <c r="A3" s="5"/>
      <c r="B3" s="25" t="s">
        <v>54</v>
      </c>
      <c r="C3" s="26"/>
      <c r="D3" s="1"/>
      <c r="E3" s="1"/>
      <c r="F3" s="1"/>
      <c r="G3" s="1"/>
      <c r="H3" s="1"/>
      <c r="I3" s="1"/>
      <c r="J3" s="1"/>
      <c r="K3" s="1"/>
    </row>
    <row r="4" spans="1:11" ht="63" x14ac:dyDescent="0.5">
      <c r="A4" s="5"/>
      <c r="B4" s="27" t="s">
        <v>56</v>
      </c>
      <c r="C4" s="26"/>
      <c r="D4" s="1"/>
      <c r="E4" s="1"/>
      <c r="F4" s="1"/>
      <c r="G4" s="1"/>
      <c r="H4" s="1"/>
      <c r="I4" s="1"/>
      <c r="J4" s="1"/>
      <c r="K4" s="1"/>
    </row>
    <row r="5" spans="1:11" ht="46.5" customHeight="1" x14ac:dyDescent="0.5">
      <c r="A5" s="5"/>
      <c r="B5" s="25" t="s">
        <v>53</v>
      </c>
      <c r="C5" s="26"/>
      <c r="D5" s="1"/>
      <c r="E5" s="1"/>
      <c r="F5" s="1"/>
      <c r="G5" s="1"/>
      <c r="H5" s="1"/>
      <c r="I5" s="1"/>
      <c r="J5" s="1"/>
      <c r="K5" s="1"/>
    </row>
    <row r="6" spans="1:11" ht="45" customHeight="1" x14ac:dyDescent="0.5">
      <c r="A6" s="1"/>
      <c r="B6" s="25" t="s">
        <v>55</v>
      </c>
      <c r="C6" s="26"/>
      <c r="D6" s="1"/>
      <c r="E6" s="1"/>
      <c r="F6" s="1"/>
      <c r="G6" s="1"/>
      <c r="H6" s="1"/>
      <c r="I6" s="1"/>
      <c r="J6" s="1"/>
      <c r="K6" s="1"/>
    </row>
    <row r="7" spans="1:11" ht="31.5" x14ac:dyDescent="0.5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31.5" x14ac:dyDescent="0.5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31.5" x14ac:dyDescent="0.5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ht="31.5" x14ac:dyDescent="0.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ht="31.5" x14ac:dyDescent="0.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ht="31.5" x14ac:dyDescent="0.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31.5" x14ac:dyDescent="0.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31.5" x14ac:dyDescent="0.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31.5" x14ac:dyDescent="0.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ht="31.5" x14ac:dyDescent="0.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ht="31.5" x14ac:dyDescent="0.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31.5" x14ac:dyDescent="0.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31.5" x14ac:dyDescent="0.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31.5" x14ac:dyDescent="0.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31.5" x14ac:dyDescent="0.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31.5" x14ac:dyDescent="0.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31.5" x14ac:dyDescent="0.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31.5" x14ac:dyDescent="0.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ht="31.5" x14ac:dyDescent="0.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ht="31.5" x14ac:dyDescent="0.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8499A-5F3A-4F6A-9DC5-35347C446D85}">
  <dimension ref="A1:K26"/>
  <sheetViews>
    <sheetView workbookViewId="0">
      <selection activeCell="C3" sqref="C3"/>
    </sheetView>
  </sheetViews>
  <sheetFormatPr defaultRowHeight="15" x14ac:dyDescent="0.25"/>
  <cols>
    <col min="2" max="2" width="39.85546875" bestFit="1" customWidth="1"/>
    <col min="3" max="3" width="18.42578125" customWidth="1"/>
  </cols>
  <sheetData>
    <row r="1" spans="1:11" ht="31.5" x14ac:dyDescent="0.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55.5" x14ac:dyDescent="0.5">
      <c r="A2" s="5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46.5" customHeight="1" x14ac:dyDescent="0.5">
      <c r="A3" s="5"/>
      <c r="B3" s="25" t="s">
        <v>54</v>
      </c>
      <c r="C3" s="26"/>
      <c r="D3" s="1"/>
      <c r="E3" s="1"/>
      <c r="F3" s="1"/>
      <c r="G3" s="1"/>
      <c r="H3" s="1"/>
      <c r="I3" s="1"/>
      <c r="J3" s="1"/>
      <c r="K3" s="1"/>
    </row>
    <row r="4" spans="1:11" ht="63" x14ac:dyDescent="0.5">
      <c r="A4" s="5"/>
      <c r="B4" s="27" t="s">
        <v>56</v>
      </c>
      <c r="C4" s="26"/>
      <c r="D4" s="1"/>
      <c r="E4" s="1"/>
      <c r="F4" s="1"/>
      <c r="G4" s="1"/>
      <c r="H4" s="1"/>
      <c r="I4" s="1"/>
      <c r="J4" s="1"/>
      <c r="K4" s="1"/>
    </row>
    <row r="5" spans="1:11" ht="46.5" customHeight="1" x14ac:dyDescent="0.5">
      <c r="A5" s="5"/>
      <c r="B5" s="25" t="s">
        <v>53</v>
      </c>
      <c r="C5" s="26"/>
      <c r="D5" s="1"/>
      <c r="E5" s="1"/>
      <c r="F5" s="1"/>
      <c r="G5" s="1"/>
      <c r="H5" s="1"/>
      <c r="I5" s="1"/>
      <c r="J5" s="1"/>
      <c r="K5" s="1"/>
    </row>
    <row r="6" spans="1:11" ht="45" customHeight="1" x14ac:dyDescent="0.5">
      <c r="A6" s="1"/>
      <c r="B6" s="25" t="s">
        <v>55</v>
      </c>
      <c r="C6" s="26"/>
      <c r="D6" s="1"/>
      <c r="E6" s="1"/>
      <c r="F6" s="1"/>
      <c r="G6" s="1"/>
      <c r="H6" s="1"/>
      <c r="I6" s="1"/>
      <c r="J6" s="1"/>
      <c r="K6" s="1"/>
    </row>
    <row r="7" spans="1:11" ht="31.5" x14ac:dyDescent="0.5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31.5" x14ac:dyDescent="0.5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31.5" x14ac:dyDescent="0.5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ht="31.5" x14ac:dyDescent="0.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ht="31.5" x14ac:dyDescent="0.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ht="31.5" x14ac:dyDescent="0.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31.5" x14ac:dyDescent="0.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31.5" x14ac:dyDescent="0.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31.5" x14ac:dyDescent="0.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ht="31.5" x14ac:dyDescent="0.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ht="31.5" x14ac:dyDescent="0.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31.5" x14ac:dyDescent="0.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31.5" x14ac:dyDescent="0.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31.5" x14ac:dyDescent="0.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31.5" x14ac:dyDescent="0.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31.5" x14ac:dyDescent="0.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31.5" x14ac:dyDescent="0.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31.5" x14ac:dyDescent="0.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ht="31.5" x14ac:dyDescent="0.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ht="31.5" x14ac:dyDescent="0.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B1A76-90E7-4E22-8E6A-167517901977}">
  <dimension ref="A1:K27"/>
  <sheetViews>
    <sheetView workbookViewId="0">
      <selection activeCell="C3" sqref="C3"/>
    </sheetView>
  </sheetViews>
  <sheetFormatPr defaultRowHeight="15" x14ac:dyDescent="0.25"/>
  <cols>
    <col min="2" max="2" width="39.85546875" bestFit="1" customWidth="1"/>
    <col min="3" max="3" width="18.42578125" customWidth="1"/>
  </cols>
  <sheetData>
    <row r="1" spans="1:11" ht="31.5" x14ac:dyDescent="0.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55.5" x14ac:dyDescent="0.5">
      <c r="A2" s="5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46.5" customHeight="1" x14ac:dyDescent="0.5">
      <c r="A3" s="5"/>
      <c r="B3" s="25" t="s">
        <v>54</v>
      </c>
      <c r="C3" s="26"/>
      <c r="D3" s="1"/>
      <c r="E3" s="1"/>
      <c r="F3" s="1"/>
      <c r="G3" s="1"/>
      <c r="H3" s="1"/>
      <c r="I3" s="1"/>
      <c r="J3" s="1"/>
      <c r="K3" s="1"/>
    </row>
    <row r="4" spans="1:11" ht="63" x14ac:dyDescent="0.5">
      <c r="A4" s="5"/>
      <c r="B4" s="27" t="s">
        <v>56</v>
      </c>
      <c r="C4" s="26"/>
      <c r="D4" s="1"/>
      <c r="E4" s="1"/>
      <c r="F4" s="1"/>
      <c r="G4" s="1"/>
      <c r="H4" s="1"/>
      <c r="I4" s="1"/>
      <c r="J4" s="1"/>
      <c r="K4" s="1"/>
    </row>
    <row r="5" spans="1:11" ht="46.5" customHeight="1" x14ac:dyDescent="0.5">
      <c r="A5" s="5"/>
      <c r="B5" s="25" t="s">
        <v>53</v>
      </c>
      <c r="C5" s="26"/>
      <c r="D5" s="1"/>
      <c r="E5" s="1"/>
      <c r="F5" s="1"/>
      <c r="G5" s="1"/>
      <c r="H5" s="1"/>
      <c r="I5" s="1"/>
      <c r="J5" s="1"/>
      <c r="K5" s="1"/>
    </row>
    <row r="6" spans="1:11" ht="63" x14ac:dyDescent="0.5">
      <c r="A6" s="5"/>
      <c r="B6" s="27" t="s">
        <v>57</v>
      </c>
      <c r="C6" s="26"/>
      <c r="D6" s="1"/>
      <c r="E6" s="1"/>
      <c r="F6" s="1"/>
      <c r="G6" s="1"/>
      <c r="H6" s="1"/>
      <c r="I6" s="1"/>
      <c r="J6" s="1"/>
      <c r="K6" s="1"/>
    </row>
    <row r="7" spans="1:11" ht="45" customHeight="1" x14ac:dyDescent="0.5">
      <c r="A7" s="1"/>
      <c r="B7" s="25" t="s">
        <v>55</v>
      </c>
      <c r="C7" s="26"/>
      <c r="D7" s="1"/>
      <c r="E7" s="1"/>
      <c r="F7" s="1"/>
      <c r="G7" s="1"/>
      <c r="H7" s="1"/>
      <c r="I7" s="1"/>
      <c r="J7" s="1"/>
      <c r="K7" s="1"/>
    </row>
    <row r="8" spans="1:11" ht="31.5" x14ac:dyDescent="0.5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31.5" x14ac:dyDescent="0.5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ht="31.5" x14ac:dyDescent="0.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ht="31.5" x14ac:dyDescent="0.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ht="31.5" x14ac:dyDescent="0.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31.5" x14ac:dyDescent="0.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31.5" x14ac:dyDescent="0.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31.5" x14ac:dyDescent="0.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ht="31.5" x14ac:dyDescent="0.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ht="31.5" x14ac:dyDescent="0.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31.5" x14ac:dyDescent="0.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31.5" x14ac:dyDescent="0.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31.5" x14ac:dyDescent="0.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31.5" x14ac:dyDescent="0.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31.5" x14ac:dyDescent="0.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31.5" x14ac:dyDescent="0.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31.5" x14ac:dyDescent="0.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ht="31.5" x14ac:dyDescent="0.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ht="31.5" x14ac:dyDescent="0.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ht="31.5" x14ac:dyDescent="0.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DFFB4-613B-4E41-B736-6CA0290B2236}">
  <dimension ref="A1:K27"/>
  <sheetViews>
    <sheetView workbookViewId="0"/>
  </sheetViews>
  <sheetFormatPr defaultRowHeight="15" x14ac:dyDescent="0.25"/>
  <cols>
    <col min="2" max="2" width="44.28515625" bestFit="1" customWidth="1"/>
    <col min="3" max="3" width="18.42578125" customWidth="1"/>
  </cols>
  <sheetData>
    <row r="1" spans="1:11" ht="31.5" x14ac:dyDescent="0.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55.5" x14ac:dyDescent="0.5">
      <c r="A2" s="5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46.5" customHeight="1" x14ac:dyDescent="0.5">
      <c r="A3" s="5"/>
      <c r="B3" s="25" t="s">
        <v>54</v>
      </c>
      <c r="C3" s="26"/>
      <c r="D3" s="1"/>
      <c r="E3" s="1"/>
      <c r="F3" s="1"/>
      <c r="G3" s="1"/>
      <c r="H3" s="1"/>
      <c r="I3" s="1"/>
      <c r="J3" s="1"/>
      <c r="K3" s="1"/>
    </row>
    <row r="4" spans="1:11" ht="63" x14ac:dyDescent="0.5">
      <c r="A4" s="5"/>
      <c r="B4" s="27" t="s">
        <v>56</v>
      </c>
      <c r="C4" s="26"/>
      <c r="D4" s="1"/>
      <c r="E4" s="1"/>
      <c r="F4" s="1"/>
      <c r="G4" s="1"/>
      <c r="H4" s="1"/>
      <c r="I4" s="1"/>
      <c r="J4" s="1"/>
      <c r="K4" s="1"/>
    </row>
    <row r="5" spans="1:11" ht="46.5" customHeight="1" x14ac:dyDescent="0.5">
      <c r="A5" s="5"/>
      <c r="B5" s="25" t="s">
        <v>68</v>
      </c>
      <c r="C5" s="26"/>
      <c r="D5" s="1"/>
      <c r="E5" s="1"/>
      <c r="F5" s="1"/>
      <c r="G5" s="1"/>
      <c r="H5" s="1"/>
      <c r="I5" s="1"/>
      <c r="J5" s="1"/>
      <c r="K5" s="1"/>
    </row>
    <row r="6" spans="1:11" ht="63" x14ac:dyDescent="0.5">
      <c r="A6" s="5"/>
      <c r="B6" s="27" t="s">
        <v>57</v>
      </c>
      <c r="C6" s="26"/>
      <c r="D6" s="1"/>
      <c r="E6" s="1"/>
      <c r="F6" s="1"/>
      <c r="G6" s="1"/>
      <c r="H6" s="1"/>
      <c r="I6" s="1"/>
      <c r="J6" s="1"/>
      <c r="K6" s="1"/>
    </row>
    <row r="7" spans="1:11" ht="45" customHeight="1" x14ac:dyDescent="0.5">
      <c r="A7" s="1"/>
      <c r="B7" s="25" t="s">
        <v>55</v>
      </c>
      <c r="C7" s="26"/>
      <c r="D7" s="1"/>
      <c r="E7" s="1"/>
      <c r="F7" s="1"/>
      <c r="G7" s="1"/>
      <c r="H7" s="1"/>
      <c r="I7" s="1"/>
      <c r="J7" s="1"/>
      <c r="K7" s="1"/>
    </row>
    <row r="8" spans="1:11" ht="31.5" x14ac:dyDescent="0.5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31.5" x14ac:dyDescent="0.5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ht="31.5" x14ac:dyDescent="0.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ht="31.5" x14ac:dyDescent="0.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ht="31.5" x14ac:dyDescent="0.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31.5" x14ac:dyDescent="0.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31.5" x14ac:dyDescent="0.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31.5" x14ac:dyDescent="0.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ht="31.5" x14ac:dyDescent="0.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ht="31.5" x14ac:dyDescent="0.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31.5" x14ac:dyDescent="0.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31.5" x14ac:dyDescent="0.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31.5" x14ac:dyDescent="0.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31.5" x14ac:dyDescent="0.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31.5" x14ac:dyDescent="0.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31.5" x14ac:dyDescent="0.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31.5" x14ac:dyDescent="0.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ht="31.5" x14ac:dyDescent="0.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ht="31.5" x14ac:dyDescent="0.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ht="31.5" x14ac:dyDescent="0.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2C64CB6A677042B43650EF789CEE5E" ma:contentTypeVersion="18" ma:contentTypeDescription="Create a new document." ma:contentTypeScope="" ma:versionID="9ebda0faf38f46ddcb4d502e16ccc11c">
  <xsd:schema xmlns:xsd="http://www.w3.org/2001/XMLSchema" xmlns:xs="http://www.w3.org/2001/XMLSchema" xmlns:p="http://schemas.microsoft.com/office/2006/metadata/properties" xmlns:ns3="55700998-527b-41f2-899c-78f7b4e9e775" xmlns:ns4="4f948357-9647-417c-9885-9e9896ad7197" targetNamespace="http://schemas.microsoft.com/office/2006/metadata/properties" ma:root="true" ma:fieldsID="66d931d832e7691b85558696d3c7453d" ns3:_="" ns4:_="">
    <xsd:import namespace="55700998-527b-41f2-899c-78f7b4e9e775"/>
    <xsd:import namespace="4f948357-9647-417c-9885-9e9896ad719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SystemTags" minOccurs="0"/>
                <xsd:element ref="ns3:MediaServiceSearchProperties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700998-527b-41f2-899c-78f7b4e9e7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948357-9647-417c-9885-9e9896ad7197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5700998-527b-41f2-899c-78f7b4e9e775" xsi:nil="true"/>
  </documentManagement>
</p:properties>
</file>

<file path=customXml/itemProps1.xml><?xml version="1.0" encoding="utf-8"?>
<ds:datastoreItem xmlns:ds="http://schemas.openxmlformats.org/officeDocument/2006/customXml" ds:itemID="{7E781BAE-5069-4293-BE1A-2181A5E7C16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5700998-527b-41f2-899c-78f7b4e9e775"/>
    <ds:schemaRef ds:uri="4f948357-9647-417c-9885-9e9896ad71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3ADFC2B-82B9-46AA-AC52-481C6E81A2C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4F1CD1C-2CA9-4F3E-B235-EC3D5D4852A9}">
  <ds:schemaRefs>
    <ds:schemaRef ds:uri="http://purl.org/dc/elements/1.1/"/>
    <ds:schemaRef ds:uri="http://schemas.microsoft.com/office/2006/metadata/properties"/>
    <ds:schemaRef ds:uri="http://purl.org/dc/terms/"/>
    <ds:schemaRef ds:uri="55700998-527b-41f2-899c-78f7b4e9e775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4f948357-9647-417c-9885-9e9896ad7197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Useful Functions</vt:lpstr>
      <vt:lpstr>COUNT Functions</vt:lpstr>
      <vt:lpstr>Math Functions</vt:lpstr>
      <vt:lpstr>Nesting Functions</vt:lpstr>
      <vt:lpstr>dates &amp; times</vt:lpstr>
      <vt:lpstr>Date Functions</vt:lpstr>
      <vt:lpstr>Time Functions</vt:lpstr>
      <vt:lpstr>VLOOKUP()</vt:lpstr>
      <vt:lpstr>Cell and Range Names</vt:lpstr>
      <vt:lpstr>VLOOKUP() - FALSE parame</vt:lpstr>
      <vt:lpstr>VLOOKUP() - Names</vt:lpstr>
      <vt:lpstr>IF Example Flat Rate</vt:lpstr>
      <vt:lpstr>IF Example Per Mile</vt:lpstr>
      <vt:lpstr>Nested IF Example Flat Rate</vt:lpstr>
      <vt:lpstr>Nested IF Example Per Mile</vt:lpstr>
    </vt:vector>
  </TitlesOfParts>
  <Company>Trinity Christian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Jeff.Nyhoff</dc:creator>
  <cp:lastModifiedBy>Alejandro De La Torre</cp:lastModifiedBy>
  <dcterms:created xsi:type="dcterms:W3CDTF">2014-02-02T16:51:51Z</dcterms:created>
  <dcterms:modified xsi:type="dcterms:W3CDTF">2025-09-25T22:12:29Z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0x010100362C64CB6A677042B43650EF789CEE5E</vt:lpwstr>
  </property>
</Properties>
</file>