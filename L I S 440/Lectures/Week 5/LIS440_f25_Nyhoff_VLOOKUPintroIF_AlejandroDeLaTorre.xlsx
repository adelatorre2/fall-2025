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https://uwprod-my.sharepoint.com/personal/adelatorre2_wisc_edu/Documents/Coursework/L I S 440/Lectures/Week 5/"/>
    </mc:Choice>
  </mc:AlternateContent>
  <xr:revisionPtr revIDLastSave="140" documentId="8_{2E9A2ADE-DBB1-4380-8F6B-FACC32F8195E}" xr6:coauthVersionLast="47" xr6:coauthVersionMax="47" xr10:uidLastSave="{23730ED5-4FF6-4EDE-BD61-14DA9DE07063}"/>
  <bookViews>
    <workbookView xWindow="-120" yWindow="-120" windowWidth="22920" windowHeight="13800" tabRatio="938" activeTab="4" xr2:uid="{00000000-000D-0000-FFFF-FFFF00000000}"/>
  </bookViews>
  <sheets>
    <sheet name="VLOOKUP" sheetId="43" r:id="rId1"/>
    <sheet name="Cell and Range Names" sheetId="44" r:id="rId2"/>
    <sheet name="VLOOKUP() - FALSE parame" sheetId="31" r:id="rId3"/>
    <sheet name="VLOOKUP() - Names" sheetId="32" r:id="rId4"/>
    <sheet name="IF() basic" sheetId="45" r:id="rId5"/>
    <sheet name="CONVERT()" sheetId="36" r:id="rId6"/>
  </sheets>
  <definedNames>
    <definedName name="id_number">'VLOOKUP() - Names'!$B$1</definedName>
    <definedName name="name_list">'VLOOKUP() - Names'!$A$4:$C$11</definedName>
    <definedName name="scale">'Cell and Range Names'!$A$4:$B$15</definedName>
    <definedName name="score">'Cell and Range Names'!$B$1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5" l="1"/>
  <c r="C2" i="32"/>
  <c r="B2" i="32"/>
  <c r="E6" i="31"/>
  <c r="C2" i="31"/>
  <c r="B2" i="31"/>
  <c r="E13" i="44"/>
  <c r="E12" i="44"/>
  <c r="E11" i="44"/>
  <c r="B2" i="44"/>
  <c r="B2" i="43"/>
  <c r="B30" i="36"/>
  <c r="B13" i="36"/>
  <c r="B10" i="36"/>
  <c r="B27" i="36"/>
  <c r="B24" i="36"/>
  <c r="B20" i="36"/>
  <c r="B17" i="36"/>
  <c r="B7" i="36"/>
  <c r="B4" i="36"/>
</calcChain>
</file>

<file path=xl/sharedStrings.xml><?xml version="1.0" encoding="utf-8"?>
<sst xmlns="http://schemas.openxmlformats.org/spreadsheetml/2006/main" count="128" uniqueCount="77">
  <si>
    <t>Joe</t>
  </si>
  <si>
    <t>John</t>
  </si>
  <si>
    <t>Jack</t>
  </si>
  <si>
    <t>Jeremy</t>
  </si>
  <si>
    <t>Jorge</t>
  </si>
  <si>
    <t>Jane</t>
  </si>
  <si>
    <t>Jim</t>
  </si>
  <si>
    <t>A</t>
  </si>
  <si>
    <t>A-</t>
  </si>
  <si>
    <t>B+</t>
  </si>
  <si>
    <t>B</t>
  </si>
  <si>
    <t>B-</t>
  </si>
  <si>
    <t>C+</t>
  </si>
  <si>
    <t>C</t>
  </si>
  <si>
    <t>C-</t>
  </si>
  <si>
    <t>D+</t>
  </si>
  <si>
    <t>D</t>
  </si>
  <si>
    <t>D-</t>
  </si>
  <si>
    <t>F</t>
  </si>
  <si>
    <t>Grade:</t>
  </si>
  <si>
    <t>Score:</t>
  </si>
  <si>
    <t>Number:</t>
  </si>
  <si>
    <t>Name:</t>
  </si>
  <si>
    <t>Smith</t>
  </si>
  <si>
    <t>Jones</t>
  </si>
  <si>
    <t>Jackson</t>
  </si>
  <si>
    <t>Harrison</t>
  </si>
  <si>
    <t>Alberts</t>
  </si>
  <si>
    <t>Jamison</t>
  </si>
  <si>
    <t>Stone</t>
  </si>
  <si>
    <t>distance:</t>
  </si>
  <si>
    <t>miles</t>
  </si>
  <si>
    <t>kilometer</t>
  </si>
  <si>
    <t>kilometers</t>
  </si>
  <si>
    <t>yards</t>
  </si>
  <si>
    <t>weight:</t>
  </si>
  <si>
    <t>kilogram</t>
  </si>
  <si>
    <t>pounds</t>
  </si>
  <si>
    <t>kilograms</t>
  </si>
  <si>
    <t>volume:</t>
  </si>
  <si>
    <t>gallon</t>
  </si>
  <si>
    <t>liter</t>
  </si>
  <si>
    <t>meters</t>
  </si>
  <si>
    <t>ounces</t>
  </si>
  <si>
    <t>Units</t>
  </si>
  <si>
    <t>Abbreviation</t>
  </si>
  <si>
    <t>km</t>
  </si>
  <si>
    <t>mi</t>
  </si>
  <si>
    <t>yd</t>
  </si>
  <si>
    <t>m</t>
  </si>
  <si>
    <t>kg</t>
  </si>
  <si>
    <t>lbm</t>
  </si>
  <si>
    <t>liters</t>
  </si>
  <si>
    <t>lt</t>
  </si>
  <si>
    <t>gal</t>
  </si>
  <si>
    <t>oz</t>
  </si>
  <si>
    <t>Is Positive</t>
  </si>
  <si>
    <t>score</t>
  </si>
  <si>
    <t>Shortcut to name manager: ALT + M + N</t>
  </si>
  <si>
    <t>Cell/Range</t>
  </si>
  <si>
    <t>Name</t>
  </si>
  <si>
    <t>B1</t>
  </si>
  <si>
    <t>A4:B15</t>
  </si>
  <si>
    <t>scale</t>
  </si>
  <si>
    <t>&lt;--Recall how it used to be `=VLOOKUP(B1,A4:B15, 2). Now it is `=VLOOKUP(score,scale, 2).</t>
  </si>
  <si>
    <t>Alternatives</t>
  </si>
  <si>
    <t>Xlookup</t>
  </si>
  <si>
    <t>Result</t>
  </si>
  <si>
    <t>Index + Match</t>
  </si>
  <si>
    <t>Lookup</t>
  </si>
  <si>
    <t>&lt;--Also by defualt it returns the closest match to the input but if you wanted to be exact, you can edit the default by editing the argument such that VLOOKUP(B1, A4:C10, 2, FALSE)</t>
  </si>
  <si>
    <t>Cell/Range Refence</t>
  </si>
  <si>
    <t>A4:C10</t>
  </si>
  <si>
    <t>Gerald</t>
  </si>
  <si>
    <t>Ford</t>
  </si>
  <si>
    <t>id_number</t>
  </si>
  <si>
    <t>name_list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</si>
</sst>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name val="Arial"/>
      <family val="2"/>
    </font>
    <font>
      <b/>
      <sz val="10"/>
      <name val="Arial"/>
      <family val="2"/>
    </font>
    <font>
      <b/>
      <sz val="11"/>
      <color theme="1"/>
      <name val="Consolas"/>
      <family val="3"/>
    </font>
    <font>
      <sz val="10"/>
      <color rgb="FFC00000"/>
      <name val="Arial"/>
      <family val="2"/>
    </font>
    <font>
      <b/>
      <sz val="10"/>
      <color rgb="FFC00000"/>
      <name val="Arial"/>
      <family val="2"/>
    </font>
  </fonts>
  <fills count="1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FFFF9B"/>
        <bgColor indexed="64"/>
      </patternFill>
    </fill>
    <fill>
      <patternFill patternType="solid">
        <fgColor theme="7" tint="0.59999389629810485"/>
        <bgColor indexed="64"/>
      </patternFill>
    </fill>
    <fill>
      <patternFill patternType="solid">
        <fgColor rgb="FF00B0F0"/>
        <bgColor indexed="64"/>
      </patternFill>
    </fill>
    <fill>
      <patternFill patternType="solid">
        <fgColor theme="4" tint="0.79998168889431442"/>
        <bgColor indexed="64"/>
      </patternFill>
    </fill>
    <fill>
      <patternFill patternType="solid">
        <fgColor theme="7"/>
        <bgColor indexed="64"/>
      </patternFill>
    </fill>
    <fill>
      <patternFill patternType="solid">
        <fgColor theme="9" tint="0.39997558519241921"/>
        <bgColor indexed="64"/>
      </patternFill>
    </fill>
    <fill>
      <patternFill patternType="solid">
        <fgColor rgb="FF00FFFF"/>
        <bgColor indexed="64"/>
      </patternFill>
    </fill>
    <fill>
      <patternFill patternType="solid">
        <fgColor rgb="FF66FF33"/>
        <bgColor indexed="64"/>
      </patternFill>
    </fill>
    <fill>
      <patternFill patternType="solid">
        <fgColor rgb="FFB3FFFF"/>
        <bgColor indexed="64"/>
      </patternFill>
    </fill>
    <fill>
      <patternFill patternType="solid">
        <fgColor rgb="FFFFFF9F"/>
        <bgColor indexed="64"/>
      </patternFill>
    </fill>
    <fill>
      <patternFill patternType="solid">
        <fgColor rgb="FFB9FFB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60">
    <xf numFmtId="0" fontId="0" fillId="0" borderId="0" xfId="0"/>
    <xf numFmtId="0" fontId="2" fillId="0" borderId="0" xfId="1"/>
    <xf numFmtId="0" fontId="3" fillId="2" borderId="1" xfId="1" applyFont="1" applyFill="1" applyBorder="1"/>
    <xf numFmtId="0" fontId="3" fillId="3" borderId="1" xfId="1" applyFont="1" applyFill="1" applyBorder="1"/>
    <xf numFmtId="0" fontId="3" fillId="0" borderId="1" xfId="1" applyFont="1" applyBorder="1" applyAlignment="1">
      <alignment horizontal="right"/>
    </xf>
    <xf numFmtId="0" fontId="3" fillId="5" borderId="1" xfId="1" applyFont="1" applyFill="1" applyBorder="1"/>
    <xf numFmtId="0" fontId="3" fillId="6" borderId="1" xfId="1" applyFont="1" applyFill="1" applyBorder="1"/>
    <xf numFmtId="0" fontId="3" fillId="7" borderId="1" xfId="1" applyFont="1" applyFill="1" applyBorder="1" applyAlignment="1">
      <alignment horizontal="right"/>
    </xf>
    <xf numFmtId="0" fontId="3" fillId="4" borderId="1" xfId="1" applyFont="1" applyFill="1" applyBorder="1" applyAlignment="1">
      <alignment horizontal="right"/>
    </xf>
    <xf numFmtId="0" fontId="3" fillId="8" borderId="1" xfId="1" applyFont="1" applyFill="1" applyBorder="1" applyAlignment="1">
      <alignment horizontal="right"/>
    </xf>
    <xf numFmtId="0" fontId="3" fillId="9" borderId="1" xfId="1" applyFont="1" applyFill="1" applyBorder="1" applyAlignment="1">
      <alignment horizontal="right"/>
    </xf>
    <xf numFmtId="0" fontId="3" fillId="6" borderId="1" xfId="1" applyFont="1" applyFill="1" applyBorder="1" applyAlignment="1">
      <alignment horizontal="right"/>
    </xf>
    <xf numFmtId="0" fontId="3" fillId="10" borderId="1" xfId="1" applyFont="1" applyFill="1" applyBorder="1" applyAlignment="1">
      <alignment horizontal="right"/>
    </xf>
    <xf numFmtId="0" fontId="3" fillId="10" borderId="1" xfId="1" applyFont="1" applyFill="1" applyBorder="1"/>
    <xf numFmtId="0" fontId="0" fillId="0" borderId="3" xfId="0" applyBorder="1"/>
    <xf numFmtId="0" fontId="0" fillId="0" borderId="0" xfId="0" applyAlignment="1">
      <alignment horizontal="center"/>
    </xf>
    <xf numFmtId="0" fontId="1" fillId="14" borderId="5" xfId="0" applyFont="1" applyFill="1" applyBorder="1"/>
    <xf numFmtId="0" fontId="1" fillId="14" borderId="6" xfId="0" applyFont="1" applyFill="1" applyBorder="1"/>
    <xf numFmtId="0" fontId="0" fillId="0" borderId="5" xfId="0" applyBorder="1" applyAlignment="1">
      <alignment horizontal="center"/>
    </xf>
    <xf numFmtId="0" fontId="0" fillId="0" borderId="6" xfId="0" applyBorder="1" applyAlignment="1">
      <alignment horizontal="center"/>
    </xf>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1" fillId="13" borderId="5" xfId="0" applyFont="1" applyFill="1" applyBorder="1"/>
    <xf numFmtId="0" fontId="1" fillId="13" borderId="6" xfId="0" applyFont="1" applyFill="1" applyBorder="1"/>
    <xf numFmtId="0" fontId="1" fillId="15" borderId="5" xfId="0" applyFont="1" applyFill="1" applyBorder="1"/>
    <xf numFmtId="0" fontId="1" fillId="15" borderId="6" xfId="0" applyFont="1" applyFill="1" applyBorder="1"/>
    <xf numFmtId="0" fontId="1" fillId="17" borderId="4" xfId="0" applyFont="1" applyFill="1" applyBorder="1"/>
    <xf numFmtId="0" fontId="1" fillId="17" borderId="11" xfId="0" applyFont="1" applyFill="1" applyBorder="1"/>
    <xf numFmtId="0" fontId="1" fillId="16" borderId="5" xfId="0" applyFont="1" applyFill="1" applyBorder="1"/>
    <xf numFmtId="0" fontId="4" fillId="16" borderId="6" xfId="0" applyFont="1" applyFill="1" applyBorder="1" applyAlignment="1">
      <alignment horizontal="center"/>
    </xf>
    <xf numFmtId="0" fontId="1" fillId="0" borderId="5" xfId="0" applyFont="1" applyBorder="1"/>
    <xf numFmtId="0" fontId="4" fillId="0" borderId="6" xfId="0" applyFont="1" applyBorder="1" applyAlignment="1">
      <alignment horizontal="center"/>
    </xf>
    <xf numFmtId="0" fontId="1" fillId="16" borderId="7" xfId="0" applyFont="1" applyFill="1" applyBorder="1"/>
    <xf numFmtId="0" fontId="4" fillId="16" borderId="8" xfId="0" applyFont="1" applyFill="1" applyBorder="1" applyAlignment="1">
      <alignment horizontal="center"/>
    </xf>
    <xf numFmtId="0" fontId="1" fillId="0" borderId="12" xfId="0" applyFont="1" applyBorder="1" applyAlignment="1">
      <alignment horizontal="center"/>
    </xf>
    <xf numFmtId="0" fontId="1" fillId="2" borderId="1" xfId="0" applyFont="1" applyFill="1" applyBorder="1" applyAlignment="1">
      <alignment horizontal="center"/>
    </xf>
    <xf numFmtId="0" fontId="1" fillId="18" borderId="13" xfId="0" applyFont="1" applyFill="1" applyBorder="1" applyAlignment="1">
      <alignment horizontal="center"/>
    </xf>
    <xf numFmtId="0" fontId="1" fillId="0" borderId="14" xfId="0" applyFont="1" applyBorder="1" applyAlignment="1">
      <alignment horizontal="center"/>
    </xf>
    <xf numFmtId="0" fontId="1" fillId="2" borderId="9" xfId="0" applyFont="1" applyFill="1" applyBorder="1"/>
    <xf numFmtId="0" fontId="0" fillId="0" borderId="10" xfId="0" applyBorder="1"/>
    <xf numFmtId="0" fontId="1" fillId="12" borderId="9" xfId="0" applyFont="1" applyFill="1" applyBorder="1"/>
    <xf numFmtId="0" fontId="1" fillId="12" borderId="10" xfId="0" applyFont="1" applyFill="1" applyBorder="1"/>
    <xf numFmtId="0" fontId="1" fillId="11" borderId="9" xfId="0" applyFont="1" applyFill="1" applyBorder="1" applyAlignment="1">
      <alignment horizontal="left"/>
    </xf>
    <xf numFmtId="0" fontId="1" fillId="11" borderId="10" xfId="0" applyFont="1" applyFill="1" applyBorder="1" applyAlignment="1">
      <alignment horizontal="left"/>
    </xf>
    <xf numFmtId="0" fontId="2" fillId="0" borderId="15" xfId="1" applyBorder="1"/>
    <xf numFmtId="0" fontId="2" fillId="0" borderId="16" xfId="1" applyBorder="1"/>
    <xf numFmtId="0" fontId="5" fillId="0" borderId="0" xfId="1" applyFont="1"/>
    <xf numFmtId="0" fontId="5" fillId="0" borderId="17" xfId="1" applyFont="1" applyBorder="1"/>
    <xf numFmtId="0" fontId="5" fillId="0" borderId="18" xfId="1" applyFont="1" applyBorder="1"/>
    <xf numFmtId="0" fontId="5" fillId="0" borderId="19" xfId="1" applyFont="1" applyBorder="1"/>
    <xf numFmtId="0" fontId="5" fillId="0" borderId="20" xfId="1" applyFont="1" applyBorder="1"/>
    <xf numFmtId="0" fontId="6" fillId="0" borderId="15" xfId="1" applyFont="1" applyBorder="1"/>
    <xf numFmtId="0" fontId="6" fillId="0" borderId="16" xfId="1" applyFont="1" applyBorder="1"/>
    <xf numFmtId="0" fontId="2" fillId="0" borderId="17" xfId="1" applyBorder="1"/>
    <xf numFmtId="0" fontId="2" fillId="0" borderId="18" xfId="1" applyBorder="1"/>
    <xf numFmtId="0" fontId="2" fillId="0" borderId="19" xfId="1" applyBorder="1"/>
    <xf numFmtId="0" fontId="2" fillId="0" borderId="20" xfId="1" applyBorder="1"/>
    <xf numFmtId="0" fontId="3" fillId="0" borderId="15" xfId="1" applyFont="1" applyBorder="1"/>
    <xf numFmtId="0" fontId="3" fillId="0" borderId="16" xfId="1" applyFont="1" applyBorder="1"/>
  </cellXfs>
  <cellStyles count="2">
    <cellStyle name="Normal" xfId="0" builtinId="0"/>
    <cellStyle name="Normal 2" xfId="1" xr:uid="{00000000-0005-0000-0000-000002000000}"/>
  </cellStyles>
  <dxfs count="0"/>
  <tableStyles count="0" defaultTableStyle="TableStyleMedium2" defaultPivotStyle="PivotStyleLight16"/>
  <colors>
    <mruColors>
      <color rgb="FFB9FFB9"/>
      <color rgb="FFFFFF9F"/>
      <color rgb="FFFFFF9B"/>
      <color rgb="FFB3FFFF"/>
      <color rgb="FF00FFFF"/>
      <color rgb="FF66FF33"/>
      <color rgb="FFF7C1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160422</xdr:colOff>
      <xdr:row>11</xdr:row>
      <xdr:rowOff>84221</xdr:rowOff>
    </xdr:from>
    <xdr:to>
      <xdr:col>4</xdr:col>
      <xdr:colOff>749969</xdr:colOff>
      <xdr:row>13</xdr:row>
      <xdr:rowOff>174655</xdr:rowOff>
    </xdr:to>
    <xdr:pic>
      <xdr:nvPicPr>
        <xdr:cNvPr id="4" name="Picture 3" descr="A screenshot of a computer&#10;&#10;AI-generated content may be incorrect.">
          <a:extLst>
            <a:ext uri="{FF2B5EF4-FFF2-40B4-BE49-F238E27FC236}">
              <a16:creationId xmlns:a16="http://schemas.microsoft.com/office/drawing/2014/main" id="{78058438-C7B4-5D2E-3B62-CB6F93A6B0DB}"/>
            </a:ext>
          </a:extLst>
        </xdr:cNvPr>
        <xdr:cNvPicPr>
          <a:picLocks noChangeAspect="1"/>
        </xdr:cNvPicPr>
      </xdr:nvPicPr>
      <xdr:blipFill>
        <a:blip xmlns:r="http://schemas.openxmlformats.org/officeDocument/2006/relationships" r:embed="rId1"/>
        <a:stretch>
          <a:fillRect/>
        </a:stretch>
      </xdr:blipFill>
      <xdr:spPr>
        <a:xfrm>
          <a:off x="2029327" y="1937084"/>
          <a:ext cx="1327484" cy="467424"/>
        </a:xfrm>
        <a:prstGeom prst="rect">
          <a:avLst/>
        </a:prstGeom>
        <a:ln>
          <a:solidFill>
            <a:schemeClr val="tx1"/>
          </a:solidFill>
        </a:ln>
      </xdr:spPr>
    </xdr:pic>
    <xdr:clientData/>
  </xdr:twoCellAnchor>
  <xdr:twoCellAnchor>
    <xdr:from>
      <xdr:col>4</xdr:col>
      <xdr:colOff>681789</xdr:colOff>
      <xdr:row>12</xdr:row>
      <xdr:rowOff>172453</xdr:rowOff>
    </xdr:from>
    <xdr:to>
      <xdr:col>5</xdr:col>
      <xdr:colOff>84221</xdr:colOff>
      <xdr:row>13</xdr:row>
      <xdr:rowOff>152400</xdr:rowOff>
    </xdr:to>
    <xdr:sp macro="" textlink="">
      <xdr:nvSpPr>
        <xdr:cNvPr id="5" name="Arrow: Left 4">
          <a:extLst>
            <a:ext uri="{FF2B5EF4-FFF2-40B4-BE49-F238E27FC236}">
              <a16:creationId xmlns:a16="http://schemas.microsoft.com/office/drawing/2014/main" id="{7E079761-67A2-4219-86AA-179FC49D0D22}"/>
            </a:ext>
          </a:extLst>
        </xdr:cNvPr>
        <xdr:cNvSpPr/>
      </xdr:nvSpPr>
      <xdr:spPr>
        <a:xfrm>
          <a:off x="3288631" y="2209800"/>
          <a:ext cx="232611" cy="172453"/>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B6FA-B9AF-40A9-AA63-81826328088F}">
  <dimension ref="A1:B15"/>
  <sheetViews>
    <sheetView zoomScale="140" zoomScaleNormal="140" workbookViewId="0">
      <selection activeCell="B2" sqref="B2"/>
    </sheetView>
  </sheetViews>
  <sheetFormatPr defaultColWidth="8.85546875" defaultRowHeight="12.75" x14ac:dyDescent="0.2"/>
  <cols>
    <col min="1" max="16384" width="8.85546875" style="1"/>
  </cols>
  <sheetData>
    <row r="1" spans="1:2" x14ac:dyDescent="0.2">
      <c r="A1" s="2" t="s">
        <v>20</v>
      </c>
      <c r="B1" s="5">
        <v>86</v>
      </c>
    </row>
    <row r="2" spans="1:2" x14ac:dyDescent="0.2">
      <c r="A2" s="3" t="s">
        <v>19</v>
      </c>
      <c r="B2" s="12" t="str">
        <f>VLOOKUP(B1,A4:B15, 2)</f>
        <v>B+</v>
      </c>
    </row>
    <row r="4" spans="1:2" x14ac:dyDescent="0.2">
      <c r="A4" s="5">
        <v>0</v>
      </c>
      <c r="B4" s="13" t="s">
        <v>18</v>
      </c>
    </row>
    <row r="5" spans="1:2" x14ac:dyDescent="0.2">
      <c r="A5" s="5">
        <v>58</v>
      </c>
      <c r="B5" s="13" t="s">
        <v>17</v>
      </c>
    </row>
    <row r="6" spans="1:2" x14ac:dyDescent="0.2">
      <c r="A6" s="5">
        <v>61</v>
      </c>
      <c r="B6" s="13" t="s">
        <v>16</v>
      </c>
    </row>
    <row r="7" spans="1:2" x14ac:dyDescent="0.2">
      <c r="A7" s="5">
        <v>64</v>
      </c>
      <c r="B7" s="13" t="s">
        <v>15</v>
      </c>
    </row>
    <row r="8" spans="1:2" x14ac:dyDescent="0.2">
      <c r="A8" s="5">
        <v>67</v>
      </c>
      <c r="B8" s="13" t="s">
        <v>14</v>
      </c>
    </row>
    <row r="9" spans="1:2" x14ac:dyDescent="0.2">
      <c r="A9" s="5">
        <v>70</v>
      </c>
      <c r="B9" s="13" t="s">
        <v>13</v>
      </c>
    </row>
    <row r="10" spans="1:2" x14ac:dyDescent="0.2">
      <c r="A10" s="5">
        <v>73</v>
      </c>
      <c r="B10" s="13" t="s">
        <v>12</v>
      </c>
    </row>
    <row r="11" spans="1:2" x14ac:dyDescent="0.2">
      <c r="A11" s="5">
        <v>76</v>
      </c>
      <c r="B11" s="13" t="s">
        <v>11</v>
      </c>
    </row>
    <row r="12" spans="1:2" x14ac:dyDescent="0.2">
      <c r="A12" s="5">
        <v>80</v>
      </c>
      <c r="B12" s="13" t="s">
        <v>10</v>
      </c>
    </row>
    <row r="13" spans="1:2" x14ac:dyDescent="0.2">
      <c r="A13" s="5">
        <v>85</v>
      </c>
      <c r="B13" s="13" t="s">
        <v>9</v>
      </c>
    </row>
    <row r="14" spans="1:2" x14ac:dyDescent="0.2">
      <c r="A14" s="5">
        <v>90</v>
      </c>
      <c r="B14" s="13" t="s">
        <v>8</v>
      </c>
    </row>
    <row r="15" spans="1:2" x14ac:dyDescent="0.2">
      <c r="A15" s="5">
        <v>95</v>
      </c>
      <c r="B15" s="13" t="s">
        <v>7</v>
      </c>
    </row>
  </sheetData>
  <pageMargins left="0.75" right="0.75" top="1" bottom="1" header="0.5" footer="0.5"/>
  <pageSetup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E3952-3EA0-4C64-9B2D-0034118C1057}">
  <dimension ref="A1:E15"/>
  <sheetViews>
    <sheetView zoomScale="160" zoomScaleNormal="160" workbookViewId="0">
      <selection activeCell="E11" sqref="E11"/>
    </sheetView>
  </sheetViews>
  <sheetFormatPr defaultColWidth="8.85546875" defaultRowHeight="12.75" x14ac:dyDescent="0.2"/>
  <cols>
    <col min="1" max="3" width="8.85546875" style="1"/>
    <col min="4" max="4" width="12.85546875" style="1" bestFit="1" customWidth="1"/>
    <col min="5" max="5" width="6.28515625" style="1" bestFit="1" customWidth="1"/>
    <col min="6" max="16384" width="8.85546875" style="1"/>
  </cols>
  <sheetData>
    <row r="1" spans="1:5" x14ac:dyDescent="0.2">
      <c r="A1" s="2" t="s">
        <v>20</v>
      </c>
      <c r="B1" s="5">
        <v>93</v>
      </c>
    </row>
    <row r="2" spans="1:5" x14ac:dyDescent="0.2">
      <c r="A2" s="3" t="s">
        <v>19</v>
      </c>
      <c r="B2" s="12" t="str">
        <f>VLOOKUP(score,scale, 2)</f>
        <v>A-</v>
      </c>
      <c r="D2" s="47" t="s">
        <v>64</v>
      </c>
    </row>
    <row r="4" spans="1:5" x14ac:dyDescent="0.2">
      <c r="A4" s="5">
        <v>0</v>
      </c>
      <c r="B4" s="13" t="s">
        <v>18</v>
      </c>
      <c r="D4" s="47" t="s">
        <v>58</v>
      </c>
    </row>
    <row r="5" spans="1:5" x14ac:dyDescent="0.2">
      <c r="A5" s="5">
        <v>58</v>
      </c>
      <c r="B5" s="13" t="s">
        <v>17</v>
      </c>
    </row>
    <row r="6" spans="1:5" x14ac:dyDescent="0.2">
      <c r="A6" s="5">
        <v>61</v>
      </c>
      <c r="B6" s="13" t="s">
        <v>16</v>
      </c>
      <c r="D6" s="52" t="s">
        <v>59</v>
      </c>
      <c r="E6" s="53" t="s">
        <v>60</v>
      </c>
    </row>
    <row r="7" spans="1:5" x14ac:dyDescent="0.2">
      <c r="A7" s="5">
        <v>64</v>
      </c>
      <c r="B7" s="13" t="s">
        <v>15</v>
      </c>
      <c r="D7" s="48" t="s">
        <v>61</v>
      </c>
      <c r="E7" s="49" t="s">
        <v>57</v>
      </c>
    </row>
    <row r="8" spans="1:5" x14ac:dyDescent="0.2">
      <c r="A8" s="5">
        <v>67</v>
      </c>
      <c r="B8" s="13" t="s">
        <v>14</v>
      </c>
      <c r="D8" s="50" t="s">
        <v>62</v>
      </c>
      <c r="E8" s="51" t="s">
        <v>63</v>
      </c>
    </row>
    <row r="9" spans="1:5" x14ac:dyDescent="0.2">
      <c r="A9" s="5">
        <v>70</v>
      </c>
      <c r="B9" s="13" t="s">
        <v>13</v>
      </c>
    </row>
    <row r="10" spans="1:5" x14ac:dyDescent="0.2">
      <c r="A10" s="5">
        <v>73</v>
      </c>
      <c r="B10" s="13" t="s">
        <v>12</v>
      </c>
      <c r="D10" s="45" t="s">
        <v>65</v>
      </c>
      <c r="E10" s="46" t="s">
        <v>67</v>
      </c>
    </row>
    <row r="11" spans="1:5" x14ac:dyDescent="0.2">
      <c r="A11" s="5">
        <v>76</v>
      </c>
      <c r="B11" s="13" t="s">
        <v>11</v>
      </c>
      <c r="D11" s="54" t="s">
        <v>66</v>
      </c>
      <c r="E11" s="55" t="str">
        <f>_xlfn.XLOOKUP(B1, A4:A15, B4:B15, "Not Found", 1)</f>
        <v>A</v>
      </c>
    </row>
    <row r="12" spans="1:5" x14ac:dyDescent="0.2">
      <c r="A12" s="5">
        <v>80</v>
      </c>
      <c r="B12" s="13" t="s">
        <v>10</v>
      </c>
      <c r="D12" s="54" t="s">
        <v>68</v>
      </c>
      <c r="E12" s="55" t="str">
        <f>INDEX(B4:B15, MATCH(B1, A4:A15, 1))</f>
        <v>A-</v>
      </c>
    </row>
    <row r="13" spans="1:5" x14ac:dyDescent="0.2">
      <c r="A13" s="5">
        <v>85</v>
      </c>
      <c r="B13" s="13" t="s">
        <v>9</v>
      </c>
      <c r="D13" s="56" t="s">
        <v>69</v>
      </c>
      <c r="E13" s="57" t="str">
        <f>LOOKUP(B1, A4:A15, B4:B15)</f>
        <v>A-</v>
      </c>
    </row>
    <row r="14" spans="1:5" x14ac:dyDescent="0.2">
      <c r="A14" s="5">
        <v>90</v>
      </c>
      <c r="B14" s="13" t="s">
        <v>8</v>
      </c>
    </row>
    <row r="15" spans="1:5" x14ac:dyDescent="0.2">
      <c r="A15" s="5">
        <v>95</v>
      </c>
      <c r="B15" s="13" t="s">
        <v>7</v>
      </c>
    </row>
  </sheetData>
  <pageMargins left="0.75" right="0.75" top="1" bottom="1" header="0.5" footer="0.5"/>
  <pageSetup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E4F68-386E-4950-B655-981F3BFE83BC}">
  <dimension ref="A1:E10"/>
  <sheetViews>
    <sheetView zoomScale="200" workbookViewId="0">
      <selection activeCell="C2" sqref="B2:C2"/>
    </sheetView>
  </sheetViews>
  <sheetFormatPr defaultColWidth="8.85546875" defaultRowHeight="12.75" x14ac:dyDescent="0.2"/>
  <cols>
    <col min="1" max="1" width="9.28515625" style="1" customWidth="1"/>
    <col min="2" max="16384" width="8.85546875" style="1"/>
  </cols>
  <sheetData>
    <row r="1" spans="1:5" x14ac:dyDescent="0.2">
      <c r="A1" s="10" t="s">
        <v>21</v>
      </c>
      <c r="B1" s="11">
        <v>12354</v>
      </c>
      <c r="C1" s="4"/>
    </row>
    <row r="2" spans="1:5" x14ac:dyDescent="0.2">
      <c r="A2" s="7" t="s">
        <v>22</v>
      </c>
      <c r="B2" s="8" t="str">
        <f>VLOOKUP(B1,A4:C10,2)</f>
        <v>Jack</v>
      </c>
      <c r="C2" s="9" t="str">
        <f>VLOOKUP(B1,A4:C10,3)</f>
        <v>Jones</v>
      </c>
    </row>
    <row r="4" spans="1:5" x14ac:dyDescent="0.2">
      <c r="A4" s="6">
        <v>12345</v>
      </c>
      <c r="B4" s="8" t="s">
        <v>0</v>
      </c>
      <c r="C4" s="9" t="s">
        <v>23</v>
      </c>
      <c r="E4" s="47" t="s">
        <v>70</v>
      </c>
    </row>
    <row r="5" spans="1:5" x14ac:dyDescent="0.2">
      <c r="A5" s="6">
        <v>12350</v>
      </c>
      <c r="B5" s="8" t="s">
        <v>2</v>
      </c>
      <c r="C5" s="9" t="s">
        <v>24</v>
      </c>
      <c r="E5" s="47"/>
    </row>
    <row r="6" spans="1:5" x14ac:dyDescent="0.2">
      <c r="A6" s="6">
        <v>12355</v>
      </c>
      <c r="B6" s="8" t="s">
        <v>6</v>
      </c>
      <c r="C6" s="9" t="s">
        <v>25</v>
      </c>
      <c r="E6" s="47" t="str">
        <f>IFERROR(VLOOKUP(B1, A4:C10, 2, FALSE), "ID number does not exist match")</f>
        <v>ID number does not exist match</v>
      </c>
    </row>
    <row r="7" spans="1:5" x14ac:dyDescent="0.2">
      <c r="A7" s="6">
        <v>12360</v>
      </c>
      <c r="B7" s="8" t="s">
        <v>1</v>
      </c>
      <c r="C7" s="9" t="s">
        <v>26</v>
      </c>
    </row>
    <row r="8" spans="1:5" x14ac:dyDescent="0.2">
      <c r="A8" s="6">
        <v>12365</v>
      </c>
      <c r="B8" s="8" t="s">
        <v>3</v>
      </c>
      <c r="C8" s="9" t="s">
        <v>27</v>
      </c>
    </row>
    <row r="9" spans="1:5" x14ac:dyDescent="0.2">
      <c r="A9" s="6">
        <v>12370</v>
      </c>
      <c r="B9" s="8" t="s">
        <v>5</v>
      </c>
      <c r="C9" s="9" t="s">
        <v>28</v>
      </c>
    </row>
    <row r="10" spans="1:5" x14ac:dyDescent="0.2">
      <c r="A10" s="6">
        <v>12375</v>
      </c>
      <c r="B10" s="8" t="s">
        <v>4</v>
      </c>
      <c r="C10" s="9" t="s">
        <v>29</v>
      </c>
    </row>
  </sheetData>
  <pageMargins left="0.75" right="0.75" top="1" bottom="1" header="0.5" footer="0.5"/>
  <pageSetup orientation="portrait"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8D885-65AF-47C0-81BF-5E5D276CD673}">
  <dimension ref="A1:F11"/>
  <sheetViews>
    <sheetView zoomScale="200" workbookViewId="0">
      <selection activeCell="E5" sqref="E5:E6"/>
    </sheetView>
  </sheetViews>
  <sheetFormatPr defaultColWidth="8.85546875" defaultRowHeight="12.75" x14ac:dyDescent="0.2"/>
  <cols>
    <col min="1" max="1" width="9.28515625" style="1" customWidth="1"/>
    <col min="2" max="4" width="8.85546875" style="1"/>
    <col min="5" max="5" width="19.42578125" style="1" bestFit="1" customWidth="1"/>
    <col min="6" max="6" width="10" style="1" bestFit="1" customWidth="1"/>
    <col min="7" max="16384" width="8.85546875" style="1"/>
  </cols>
  <sheetData>
    <row r="1" spans="1:6" x14ac:dyDescent="0.2">
      <c r="A1" s="10" t="s">
        <v>21</v>
      </c>
      <c r="B1" s="11">
        <v>12370</v>
      </c>
      <c r="C1" s="4"/>
    </row>
    <row r="2" spans="1:6" x14ac:dyDescent="0.2">
      <c r="A2" s="7" t="s">
        <v>22</v>
      </c>
      <c r="B2" s="8" t="str">
        <f>VLOOKUP(id_number,name_list,2)</f>
        <v>Jane</v>
      </c>
      <c r="C2" s="9" t="str">
        <f>VLOOKUP(id_number,name_list,3)</f>
        <v>Jamison</v>
      </c>
    </row>
    <row r="4" spans="1:6" x14ac:dyDescent="0.2">
      <c r="A4" s="6">
        <v>12345</v>
      </c>
      <c r="B4" s="8" t="s">
        <v>0</v>
      </c>
      <c r="C4" s="9" t="s">
        <v>23</v>
      </c>
      <c r="E4" s="58" t="s">
        <v>71</v>
      </c>
      <c r="F4" s="59" t="s">
        <v>60</v>
      </c>
    </row>
    <row r="5" spans="1:6" x14ac:dyDescent="0.2">
      <c r="A5" s="6">
        <v>12350</v>
      </c>
      <c r="B5" s="8" t="s">
        <v>2</v>
      </c>
      <c r="C5" s="9" t="s">
        <v>24</v>
      </c>
      <c r="E5" s="54" t="s">
        <v>61</v>
      </c>
      <c r="F5" s="55" t="s">
        <v>75</v>
      </c>
    </row>
    <row r="6" spans="1:6" x14ac:dyDescent="0.2">
      <c r="A6" s="6">
        <v>12355</v>
      </c>
      <c r="B6" s="8" t="s">
        <v>6</v>
      </c>
      <c r="C6" s="9" t="s">
        <v>25</v>
      </c>
      <c r="E6" s="56" t="s">
        <v>72</v>
      </c>
      <c r="F6" s="57" t="s">
        <v>76</v>
      </c>
    </row>
    <row r="7" spans="1:6" x14ac:dyDescent="0.2">
      <c r="A7" s="6">
        <v>12360</v>
      </c>
      <c r="B7" s="8" t="s">
        <v>1</v>
      </c>
      <c r="C7" s="9" t="s">
        <v>26</v>
      </c>
    </row>
    <row r="8" spans="1:6" x14ac:dyDescent="0.2">
      <c r="A8" s="6">
        <v>10000</v>
      </c>
      <c r="B8" s="8" t="s">
        <v>73</v>
      </c>
      <c r="C8" s="9" t="s">
        <v>74</v>
      </c>
    </row>
    <row r="9" spans="1:6" x14ac:dyDescent="0.2">
      <c r="A9" s="6">
        <v>12365</v>
      </c>
      <c r="B9" s="8" t="s">
        <v>3</v>
      </c>
      <c r="C9" s="9" t="s">
        <v>27</v>
      </c>
    </row>
    <row r="10" spans="1:6" x14ac:dyDescent="0.2">
      <c r="A10" s="6">
        <v>12370</v>
      </c>
      <c r="B10" s="8" t="s">
        <v>5</v>
      </c>
      <c r="C10" s="9" t="s">
        <v>28</v>
      </c>
    </row>
    <row r="11" spans="1:6" x14ac:dyDescent="0.2">
      <c r="A11" s="6">
        <v>12375</v>
      </c>
      <c r="B11" s="8" t="s">
        <v>4</v>
      </c>
      <c r="C11" s="9" t="s">
        <v>29</v>
      </c>
    </row>
  </sheetData>
  <pageMargins left="0.75" right="0.7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F5F5B-F374-4131-A19B-AE044C5954CB}">
  <dimension ref="A1:B2"/>
  <sheetViews>
    <sheetView tabSelected="1" zoomScale="190" zoomScaleNormal="190" workbookViewId="0">
      <selection activeCell="A3" sqref="A3"/>
    </sheetView>
  </sheetViews>
  <sheetFormatPr defaultRowHeight="15" x14ac:dyDescent="0.25"/>
  <cols>
    <col min="1" max="1" width="15" customWidth="1"/>
    <col min="2" max="2" width="25.28515625" customWidth="1"/>
  </cols>
  <sheetData>
    <row r="1" spans="1:2" x14ac:dyDescent="0.25">
      <c r="A1" s="36" t="s">
        <v>21</v>
      </c>
      <c r="B1" s="37" t="s">
        <v>56</v>
      </c>
    </row>
    <row r="2" spans="1:2" ht="15.75" thickBot="1" x14ac:dyDescent="0.3">
      <c r="A2" s="38">
        <v>0</v>
      </c>
      <c r="B2" s="35" t="str">
        <f>IF(A2&gt;0,"Number is positive!",IF(A2&lt;0,"Number is negative.",IF(A2=0,"Number is equal to zero","Not part of the set of real numbers.")))</f>
        <v>Number is equal to zero</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EE1A-6AC1-4124-A796-79798417CB7E}">
  <dimension ref="A1:E30"/>
  <sheetViews>
    <sheetView zoomScale="190" zoomScaleNormal="190" workbookViewId="0">
      <selection activeCell="G6" sqref="G6"/>
    </sheetView>
  </sheetViews>
  <sheetFormatPr defaultRowHeight="15" x14ac:dyDescent="0.25"/>
  <cols>
    <col min="1" max="1" width="11.42578125" customWidth="1"/>
    <col min="2" max="2" width="12.28515625" customWidth="1"/>
    <col min="3" max="3" width="3.42578125" customWidth="1"/>
    <col min="4" max="4" width="10.7109375" customWidth="1"/>
    <col min="5" max="5" width="12.140625" customWidth="1"/>
    <col min="6" max="6" width="2.42578125" customWidth="1"/>
    <col min="8" max="8" width="13.28515625" customWidth="1"/>
  </cols>
  <sheetData>
    <row r="1" spans="1:5" ht="5.45" customHeight="1" thickBot="1" x14ac:dyDescent="0.3"/>
    <row r="2" spans="1:5" x14ac:dyDescent="0.25">
      <c r="A2" s="39" t="s">
        <v>30</v>
      </c>
      <c r="B2" s="40"/>
      <c r="D2" s="27" t="s">
        <v>44</v>
      </c>
      <c r="E2" s="28" t="s">
        <v>45</v>
      </c>
    </row>
    <row r="3" spans="1:5" x14ac:dyDescent="0.25">
      <c r="A3" s="16" t="s">
        <v>33</v>
      </c>
      <c r="B3" s="17" t="s">
        <v>31</v>
      </c>
      <c r="D3" s="29" t="s">
        <v>32</v>
      </c>
      <c r="E3" s="30" t="s">
        <v>46</v>
      </c>
    </row>
    <row r="4" spans="1:5" x14ac:dyDescent="0.25">
      <c r="A4" s="18">
        <v>10</v>
      </c>
      <c r="B4" s="19">
        <f>CONVERT(A4,"km","mi")</f>
        <v>6.2137119223733395</v>
      </c>
      <c r="D4" s="31" t="s">
        <v>31</v>
      </c>
      <c r="E4" s="32" t="s">
        <v>47</v>
      </c>
    </row>
    <row r="5" spans="1:5" x14ac:dyDescent="0.25">
      <c r="A5" s="20"/>
      <c r="B5" s="14"/>
      <c r="D5" s="29" t="s">
        <v>34</v>
      </c>
      <c r="E5" s="30" t="s">
        <v>48</v>
      </c>
    </row>
    <row r="6" spans="1:5" x14ac:dyDescent="0.25">
      <c r="A6" s="16" t="s">
        <v>31</v>
      </c>
      <c r="B6" s="17" t="s">
        <v>34</v>
      </c>
      <c r="D6" s="31" t="s">
        <v>42</v>
      </c>
      <c r="E6" s="32" t="s">
        <v>49</v>
      </c>
    </row>
    <row r="7" spans="1:5" x14ac:dyDescent="0.25">
      <c r="A7" s="18">
        <v>1</v>
      </c>
      <c r="B7" s="19">
        <f>CONVERT(A7,"mi","yd")</f>
        <v>1760</v>
      </c>
      <c r="D7" s="29" t="s">
        <v>36</v>
      </c>
      <c r="E7" s="30" t="s">
        <v>50</v>
      </c>
    </row>
    <row r="8" spans="1:5" x14ac:dyDescent="0.25">
      <c r="A8" s="20"/>
      <c r="B8" s="14"/>
      <c r="D8" s="31" t="s">
        <v>37</v>
      </c>
      <c r="E8" s="32" t="s">
        <v>51</v>
      </c>
    </row>
    <row r="9" spans="1:5" x14ac:dyDescent="0.25">
      <c r="A9" s="16" t="s">
        <v>42</v>
      </c>
      <c r="B9" s="17" t="s">
        <v>34</v>
      </c>
      <c r="D9" s="29" t="s">
        <v>52</v>
      </c>
      <c r="E9" s="30" t="s">
        <v>53</v>
      </c>
    </row>
    <row r="10" spans="1:5" x14ac:dyDescent="0.25">
      <c r="A10" s="18">
        <v>1</v>
      </c>
      <c r="B10" s="19">
        <f>CONVERT(A10,"m","yd")</f>
        <v>1.0936132983377078</v>
      </c>
      <c r="D10" s="31" t="s">
        <v>40</v>
      </c>
      <c r="E10" s="32" t="s">
        <v>54</v>
      </c>
    </row>
    <row r="11" spans="1:5" ht="15.75" thickBot="1" x14ac:dyDescent="0.3">
      <c r="A11" s="20"/>
      <c r="B11" s="14"/>
      <c r="D11" s="33" t="s">
        <v>43</v>
      </c>
      <c r="E11" s="34" t="s">
        <v>55</v>
      </c>
    </row>
    <row r="12" spans="1:5" x14ac:dyDescent="0.25">
      <c r="A12" s="16" t="s">
        <v>34</v>
      </c>
      <c r="B12" s="17" t="s">
        <v>42</v>
      </c>
    </row>
    <row r="13" spans="1:5" ht="15.75" thickBot="1" x14ac:dyDescent="0.3">
      <c r="A13" s="21">
        <v>1</v>
      </c>
      <c r="B13" s="22">
        <f>CONVERT(A13,"yd","m")</f>
        <v>0.91439999999999999</v>
      </c>
    </row>
    <row r="14" spans="1:5" ht="15.75" thickBot="1" x14ac:dyDescent="0.3">
      <c r="A14" s="15"/>
      <c r="B14" s="15"/>
    </row>
    <row r="15" spans="1:5" x14ac:dyDescent="0.25">
      <c r="A15" s="41" t="s">
        <v>35</v>
      </c>
      <c r="B15" s="42"/>
    </row>
    <row r="16" spans="1:5" x14ac:dyDescent="0.25">
      <c r="A16" s="25" t="s">
        <v>38</v>
      </c>
      <c r="B16" s="26" t="s">
        <v>37</v>
      </c>
    </row>
    <row r="17" spans="1:2" x14ac:dyDescent="0.25">
      <c r="A17" s="18">
        <v>1</v>
      </c>
      <c r="B17" s="19">
        <f>CONVERT(A17,"kg","lbm")</f>
        <v>2.2046226218487757</v>
      </c>
    </row>
    <row r="18" spans="1:2" x14ac:dyDescent="0.25">
      <c r="A18" s="20"/>
      <c r="B18" s="14"/>
    </row>
    <row r="19" spans="1:2" x14ac:dyDescent="0.25">
      <c r="A19" s="25" t="s">
        <v>37</v>
      </c>
      <c r="B19" s="26" t="s">
        <v>38</v>
      </c>
    </row>
    <row r="20" spans="1:2" ht="15.75" thickBot="1" x14ac:dyDescent="0.3">
      <c r="A20" s="21">
        <v>1</v>
      </c>
      <c r="B20" s="22">
        <f>CONVERT(A20,"lbm", "kg")</f>
        <v>0.45359237000000002</v>
      </c>
    </row>
    <row r="21" spans="1:2" ht="15.75" thickBot="1" x14ac:dyDescent="0.3"/>
    <row r="22" spans="1:2" x14ac:dyDescent="0.25">
      <c r="A22" s="43" t="s">
        <v>39</v>
      </c>
      <c r="B22" s="44"/>
    </row>
    <row r="23" spans="1:2" x14ac:dyDescent="0.25">
      <c r="A23" s="23" t="s">
        <v>40</v>
      </c>
      <c r="B23" s="24" t="s">
        <v>41</v>
      </c>
    </row>
    <row r="24" spans="1:2" x14ac:dyDescent="0.25">
      <c r="A24" s="18">
        <v>1</v>
      </c>
      <c r="B24" s="19">
        <f>CONVERT(A24,"gal","lt")</f>
        <v>3.7854117839999999</v>
      </c>
    </row>
    <row r="25" spans="1:2" x14ac:dyDescent="0.25">
      <c r="A25" s="20"/>
      <c r="B25" s="14"/>
    </row>
    <row r="26" spans="1:2" x14ac:dyDescent="0.25">
      <c r="A26" s="23" t="s">
        <v>41</v>
      </c>
      <c r="B26" s="24" t="s">
        <v>40</v>
      </c>
    </row>
    <row r="27" spans="1:2" x14ac:dyDescent="0.25">
      <c r="A27" s="18">
        <v>1</v>
      </c>
      <c r="B27" s="19">
        <f>CONVERT(A27,"gal","lt")</f>
        <v>3.7854117839999999</v>
      </c>
    </row>
    <row r="28" spans="1:2" x14ac:dyDescent="0.25">
      <c r="A28" s="20"/>
      <c r="B28" s="14"/>
    </row>
    <row r="29" spans="1:2" x14ac:dyDescent="0.25">
      <c r="A29" s="23" t="s">
        <v>41</v>
      </c>
      <c r="B29" s="24" t="s">
        <v>43</v>
      </c>
    </row>
    <row r="30" spans="1:2" ht="15.75" thickBot="1" x14ac:dyDescent="0.3">
      <c r="A30" s="21">
        <v>1</v>
      </c>
      <c r="B30" s="22">
        <f>CONVERT(A30,"lt","oz")</f>
        <v>33.814022701843001</v>
      </c>
    </row>
  </sheetData>
  <mergeCells count="3">
    <mergeCell ref="A2:B2"/>
    <mergeCell ref="A15:B15"/>
    <mergeCell ref="A22:B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2C64CB6A677042B43650EF789CEE5E" ma:contentTypeVersion="18" ma:contentTypeDescription="Create a new document." ma:contentTypeScope="" ma:versionID="9ebda0faf38f46ddcb4d502e16ccc11c">
  <xsd:schema xmlns:xsd="http://www.w3.org/2001/XMLSchema" xmlns:xs="http://www.w3.org/2001/XMLSchema" xmlns:p="http://schemas.microsoft.com/office/2006/metadata/properties" xmlns:ns3="55700998-527b-41f2-899c-78f7b4e9e775" xmlns:ns4="4f948357-9647-417c-9885-9e9896ad7197" targetNamespace="http://schemas.microsoft.com/office/2006/metadata/properties" ma:root="true" ma:fieldsID="66d931d832e7691b85558696d3c7453d" ns3:_="" ns4:_="">
    <xsd:import namespace="55700998-527b-41f2-899c-78f7b4e9e775"/>
    <xsd:import namespace="4f948357-9647-417c-9885-9e9896ad719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4:SharedWithUsers" minOccurs="0"/>
                <xsd:element ref="ns4:SharedWithDetails" minOccurs="0"/>
                <xsd:element ref="ns4:SharingHintHash"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SystemTags" minOccurs="0"/>
                <xsd:element ref="ns3:MediaServiceSearchProperties"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700998-527b-41f2-899c-78f7b4e9e7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948357-9647-417c-9885-9e9896ad719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5700998-527b-41f2-899c-78f7b4e9e775" xsi:nil="true"/>
  </documentManagement>
</p:properties>
</file>

<file path=customXml/itemProps1.xml><?xml version="1.0" encoding="utf-8"?>
<ds:datastoreItem xmlns:ds="http://schemas.openxmlformats.org/officeDocument/2006/customXml" ds:itemID="{72C1433D-D29F-438E-882F-6F4672AA59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700998-527b-41f2-899c-78f7b4e9e775"/>
    <ds:schemaRef ds:uri="4f948357-9647-417c-9885-9e9896ad71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FA94CD-EB1B-4D5B-A441-C9DBFDDEDE45}">
  <ds:schemaRefs>
    <ds:schemaRef ds:uri="http://schemas.microsoft.com/sharepoint/v3/contenttype/forms"/>
  </ds:schemaRefs>
</ds:datastoreItem>
</file>

<file path=customXml/itemProps3.xml><?xml version="1.0" encoding="utf-8"?>
<ds:datastoreItem xmlns:ds="http://schemas.openxmlformats.org/officeDocument/2006/customXml" ds:itemID="{EEA017F2-372E-4000-96AE-11E88B79A7C7}">
  <ds:schemaRefs>
    <ds:schemaRef ds:uri="http://schemas.microsoft.com/office/2006/metadata/properties"/>
    <ds:schemaRef ds:uri="http://purl.org/dc/terms/"/>
    <ds:schemaRef ds:uri="55700998-527b-41f2-899c-78f7b4e9e7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4f948357-9647-417c-9885-9e9896ad719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VLOOKUP</vt:lpstr>
      <vt:lpstr>Cell and Range Names</vt:lpstr>
      <vt:lpstr>VLOOKUP() - FALSE parame</vt:lpstr>
      <vt:lpstr>VLOOKUP() - Names</vt:lpstr>
      <vt:lpstr>IF() basic</vt:lpstr>
      <vt:lpstr>CONVERT()</vt:lpstr>
      <vt:lpstr>id_number</vt:lpstr>
      <vt:lpstr>name_list</vt:lpstr>
      <vt:lpstr>scale</vt:lpstr>
      <vt:lpstr>score</vt:lpstr>
    </vt:vector>
  </TitlesOfParts>
  <Company>Trinity Christian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Jeff.Nyhoff</dc:creator>
  <cp:lastModifiedBy>Alejandro De La Torre</cp:lastModifiedBy>
  <dcterms:created xsi:type="dcterms:W3CDTF">2014-02-02T16:51:51Z</dcterms:created>
  <dcterms:modified xsi:type="dcterms:W3CDTF">2025-09-30T22:12:51Z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0x010100362C64CB6A677042B43650EF789CEE5E</vt:lpwstr>
  </property>
</Properties>
</file>