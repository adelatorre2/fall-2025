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uwprod-my.sharepoint.com/personal/adelatorre2_wisc_edu/Documents/Coursework/L I S 440/Lectures/Week 6/"/>
    </mc:Choice>
  </mc:AlternateContent>
  <xr:revisionPtr revIDLastSave="165" documentId="8_{922BB393-491B-4C2C-9C78-8FFD26A2525E}" xr6:coauthVersionLast="47" xr6:coauthVersionMax="47" xr10:uidLastSave="{764A5483-3E52-724B-8E0F-5B1E9008B7E4}"/>
  <bookViews>
    <workbookView xWindow="0" yWindow="760" windowWidth="22120" windowHeight="13560" activeTab="2" xr2:uid="{00000000-000D-0000-FFFF-FFFF00000000}"/>
  </bookViews>
  <sheets>
    <sheet name="Nested '=If' Review" sheetId="4" r:id="rId1"/>
    <sheet name="Seperator" sheetId="3" r:id="rId2"/>
    <sheet name="College" sheetId="2" r:id="rId3"/>
  </sheets>
  <definedNames>
    <definedName name="_xlnm._FilterDatabase" localSheetId="2" hidden="1">College!$A$1:$H$81</definedName>
    <definedName name="_xlnm.Criteria" localSheetId="2">College!$A$84:$G$86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2" l="1"/>
  <c r="J91" i="2"/>
  <c r="F92" i="2"/>
  <c r="J92" i="2"/>
  <c r="F93" i="2"/>
  <c r="J93" i="2"/>
  <c r="J90" i="2"/>
  <c r="I91" i="2"/>
  <c r="I92" i="2"/>
  <c r="I93" i="2"/>
  <c r="I90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K93" i="2"/>
  <c r="K94" i="2" a="1"/>
  <c r="K94" i="2"/>
  <c r="K90" i="2"/>
  <c r="K91" i="2"/>
  <c r="K92" i="2"/>
  <c r="J94" i="2"/>
  <c r="I94" i="2"/>
  <c r="H94" i="2"/>
  <c r="B92" i="2"/>
  <c r="B95" i="2"/>
  <c r="B97" i="2"/>
  <c r="B96" i="2"/>
  <c r="H91" i="2"/>
  <c r="H92" i="2"/>
  <c r="H93" i="2"/>
  <c r="H90" i="2"/>
  <c r="B91" i="2"/>
  <c r="B90" i="2"/>
  <c r="D82" i="2" a="1"/>
  <c r="D82" i="2"/>
  <c r="B89" i="2"/>
  <c r="B86" i="2"/>
  <c r="B2" i="4" a="1"/>
  <c r="B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<sst xmlns="http://schemas.openxmlformats.org/spreadsheetml/2006/main" count="357" uniqueCount="225">
  <si>
    <t>Student Number</t>
  </si>
  <si>
    <t>Last Name</t>
  </si>
  <si>
    <t>First Name</t>
  </si>
  <si>
    <t>Class Level</t>
  </si>
  <si>
    <t>Home State</t>
  </si>
  <si>
    <t>Major</t>
  </si>
  <si>
    <t>GPA</t>
  </si>
  <si>
    <t>Credits This Term</t>
  </si>
  <si>
    <t>Pierce</t>
  </si>
  <si>
    <t>Benjamin</t>
  </si>
  <si>
    <t>Maine</t>
  </si>
  <si>
    <t>Pre-Med</t>
  </si>
  <si>
    <t>Van Pelt</t>
  </si>
  <si>
    <t>Lucy</t>
  </si>
  <si>
    <t>California</t>
  </si>
  <si>
    <t>Psychology</t>
  </si>
  <si>
    <t>Bueller</t>
  </si>
  <si>
    <t>Ferris</t>
  </si>
  <si>
    <t>Illinois</t>
  </si>
  <si>
    <t>Undecided</t>
  </si>
  <si>
    <t>Burns</t>
  </si>
  <si>
    <t>Frank</t>
  </si>
  <si>
    <t>Indiana</t>
  </si>
  <si>
    <t>Costanza</t>
  </si>
  <si>
    <t>George</t>
  </si>
  <si>
    <t>New York</t>
  </si>
  <si>
    <t>Chambers</t>
  </si>
  <si>
    <t>Diane</t>
  </si>
  <si>
    <t>Massachusetts</t>
  </si>
  <si>
    <t>English</t>
  </si>
  <si>
    <t>Clinton</t>
  </si>
  <si>
    <t>Billy</t>
  </si>
  <si>
    <t>Arkansas</t>
  </si>
  <si>
    <t>Poli Sci</t>
  </si>
  <si>
    <t>Crane</t>
  </si>
  <si>
    <t>Frasier</t>
  </si>
  <si>
    <t>Washington</t>
  </si>
  <si>
    <t>Mayer</t>
  </si>
  <si>
    <t>Marissa</t>
  </si>
  <si>
    <t>Computing</t>
  </si>
  <si>
    <t>Turkle</t>
  </si>
  <si>
    <t>Sherry</t>
  </si>
  <si>
    <t>Poppins</t>
  </si>
  <si>
    <t>Mary</t>
  </si>
  <si>
    <t>Florida</t>
  </si>
  <si>
    <t>Drama</t>
  </si>
  <si>
    <t>Lovejoy</t>
  </si>
  <si>
    <t>Reverend</t>
  </si>
  <si>
    <t>North Carolina</t>
  </si>
  <si>
    <t>Religion</t>
  </si>
  <si>
    <t>Mulcahy</t>
  </si>
  <si>
    <t>Francis</t>
  </si>
  <si>
    <t>Pennsylvania</t>
  </si>
  <si>
    <t>Obama</t>
  </si>
  <si>
    <t>Barack</t>
  </si>
  <si>
    <t>Sideshow</t>
  </si>
  <si>
    <t>Bob</t>
  </si>
  <si>
    <t>Heron</t>
  </si>
  <si>
    <t>Cady</t>
  </si>
  <si>
    <t>Mathematics</t>
  </si>
  <si>
    <t>Simpson</t>
  </si>
  <si>
    <t>Lisa</t>
  </si>
  <si>
    <t>Rhode Island</t>
  </si>
  <si>
    <t>Speech</t>
  </si>
  <si>
    <t>Starkey</t>
  </si>
  <si>
    <t>Richard</t>
  </si>
  <si>
    <t>Virginia</t>
  </si>
  <si>
    <t>Music</t>
  </si>
  <si>
    <t>Van</t>
  </si>
  <si>
    <t>Joan</t>
  </si>
  <si>
    <t>Carlisle</t>
  </si>
  <si>
    <t>Belinda</t>
  </si>
  <si>
    <t>Lynch</t>
  </si>
  <si>
    <t>Sara</t>
  </si>
  <si>
    <t>Michigan</t>
  </si>
  <si>
    <t>Howe</t>
  </si>
  <si>
    <t>Rebecca</t>
  </si>
  <si>
    <t>Business</t>
  </si>
  <si>
    <t>Hiller</t>
  </si>
  <si>
    <t>Kelly</t>
  </si>
  <si>
    <t>Phys Ed</t>
  </si>
  <si>
    <t>Stipe</t>
  </si>
  <si>
    <t>Michael</t>
  </si>
  <si>
    <t>Georgia</t>
  </si>
  <si>
    <t>Baer</t>
  </si>
  <si>
    <t>Oski</t>
  </si>
  <si>
    <t>Malone</t>
  </si>
  <si>
    <t>Sam</t>
  </si>
  <si>
    <t>Moon</t>
  </si>
  <si>
    <t>Daphne</t>
  </si>
  <si>
    <t>O'Reilly</t>
  </si>
  <si>
    <t>Walter</t>
  </si>
  <si>
    <t>Iowa</t>
  </si>
  <si>
    <t>Agriculture</t>
  </si>
  <si>
    <t>Seinfeld</t>
  </si>
  <si>
    <t>Jerry</t>
  </si>
  <si>
    <t>Homer</t>
  </si>
  <si>
    <t>Hopper</t>
  </si>
  <si>
    <t>Grace</t>
  </si>
  <si>
    <t>Marge</t>
  </si>
  <si>
    <t>Nursing</t>
  </si>
  <si>
    <t>Regina</t>
  </si>
  <si>
    <t>Quinn</t>
  </si>
  <si>
    <t>Becca</t>
  </si>
  <si>
    <t>Boyd</t>
  </si>
  <si>
    <t>Woody</t>
  </si>
  <si>
    <t>Laurel</t>
  </si>
  <si>
    <t>Brenda</t>
  </si>
  <si>
    <t>Ohio</t>
  </si>
  <si>
    <t>Hoffs</t>
  </si>
  <si>
    <t>Suzanna</t>
  </si>
  <si>
    <t>Clown</t>
  </si>
  <si>
    <t>Krusty</t>
  </si>
  <si>
    <t>Hamilton</t>
  </si>
  <si>
    <t>Ember</t>
  </si>
  <si>
    <t>Texas</t>
  </si>
  <si>
    <t>Houlihan</t>
  </si>
  <si>
    <t>Margaret</t>
  </si>
  <si>
    <t>Maryland</t>
  </si>
  <si>
    <t>Howell</t>
  </si>
  <si>
    <t>Thurston</t>
  </si>
  <si>
    <t>Hawaii</t>
  </si>
  <si>
    <t>Kramer</t>
  </si>
  <si>
    <t>Cosmo</t>
  </si>
  <si>
    <t>Philosophy</t>
  </si>
  <si>
    <t>Lange</t>
  </si>
  <si>
    <t>Megan</t>
  </si>
  <si>
    <t>Byron</t>
  </si>
  <si>
    <t>Ada</t>
  </si>
  <si>
    <t>Helen</t>
  </si>
  <si>
    <t>Communications</t>
  </si>
  <si>
    <t>Bania</t>
  </si>
  <si>
    <t>Kenny</t>
  </si>
  <si>
    <t>Macca</t>
  </si>
  <si>
    <t>Paul</t>
  </si>
  <si>
    <t>Wisconsin</t>
  </si>
  <si>
    <t>Bart</t>
  </si>
  <si>
    <t>Spicoli</t>
  </si>
  <si>
    <t>Jeff</t>
  </si>
  <si>
    <t>Linus</t>
  </si>
  <si>
    <t>Wilson</t>
  </si>
  <si>
    <t>Brian</t>
  </si>
  <si>
    <t>Brown</t>
  </si>
  <si>
    <t>Sally</t>
  </si>
  <si>
    <t>Benes</t>
  </si>
  <si>
    <t>Elaine</t>
  </si>
  <si>
    <t>Clavin</t>
  </si>
  <si>
    <t>Cliff</t>
  </si>
  <si>
    <t>Bouvier</t>
  </si>
  <si>
    <t>Patty</t>
  </si>
  <si>
    <t>Niles</t>
  </si>
  <si>
    <t>Maggie</t>
  </si>
  <si>
    <t>Education</t>
  </si>
  <si>
    <t>Valerie</t>
  </si>
  <si>
    <t>Rose</t>
  </si>
  <si>
    <t>Kay</t>
  </si>
  <si>
    <t>Alan</t>
  </si>
  <si>
    <t>Charlie</t>
  </si>
  <si>
    <t>Hamm</t>
  </si>
  <si>
    <t>Mia</t>
  </si>
  <si>
    <t>Alabama</t>
  </si>
  <si>
    <t>Jobs</t>
  </si>
  <si>
    <t>Steven</t>
  </si>
  <si>
    <t>Flanders</t>
  </si>
  <si>
    <t>Maude</t>
  </si>
  <si>
    <t>Zuckerberg</t>
  </si>
  <si>
    <t>Mark</t>
  </si>
  <si>
    <t>Badger</t>
  </si>
  <si>
    <t>Bucky</t>
  </si>
  <si>
    <t>Peterson</t>
  </si>
  <si>
    <t>Norm</t>
  </si>
  <si>
    <t>Ned</t>
  </si>
  <si>
    <t>Calvin</t>
  </si>
  <si>
    <t>Johnny</t>
  </si>
  <si>
    <t>Desmond</t>
  </si>
  <si>
    <t>Molly</t>
  </si>
  <si>
    <t>Troll</t>
  </si>
  <si>
    <t>Trin</t>
  </si>
  <si>
    <t>Black</t>
  </si>
  <si>
    <t>Callie</t>
  </si>
  <si>
    <t>Hunnicutt</t>
  </si>
  <si>
    <t>BJ</t>
  </si>
  <si>
    <t>Selma</t>
  </si>
  <si>
    <t>Gates</t>
  </si>
  <si>
    <t>William</t>
  </si>
  <si>
    <t>Keaton</t>
  </si>
  <si>
    <t>Alex</t>
  </si>
  <si>
    <t>Bethany</t>
  </si>
  <si>
    <t>Ross</t>
  </si>
  <si>
    <t>Diana</t>
  </si>
  <si>
    <t>Montez</t>
  </si>
  <si>
    <t>Gabriella</t>
  </si>
  <si>
    <t>New Mexico</t>
  </si>
  <si>
    <t>Bolton</t>
  </si>
  <si>
    <t>Troy</t>
  </si>
  <si>
    <t>Arizona</t>
  </si>
  <si>
    <t>Sophomores:</t>
  </si>
  <si>
    <t>Juniors or Above:</t>
  </si>
  <si>
    <t>Avg Class Level:</t>
  </si>
  <si>
    <t>Avg GPA:</t>
  </si>
  <si>
    <t>Total Credits This Term</t>
  </si>
  <si>
    <t>California Sophomores:</t>
  </si>
  <si>
    <t>Count:</t>
  </si>
  <si>
    <t>Positive, Negative, Zero</t>
  </si>
  <si>
    <t>Alejandro</t>
  </si>
  <si>
    <t>De La Torre</t>
  </si>
  <si>
    <t>Economics</t>
  </si>
  <si>
    <t>Freshman</t>
  </si>
  <si>
    <t>Sophomore</t>
  </si>
  <si>
    <t>Junior</t>
  </si>
  <si>
    <t>Are there values greater than 5?</t>
  </si>
  <si>
    <t>Seniors</t>
  </si>
  <si>
    <t>&lt;--Total Credits taken by California Sophmores</t>
  </si>
  <si>
    <t>&lt;-- Average GPA of California Sophomores</t>
  </si>
  <si>
    <t>&lt;--Avg GPA for Juniors &amp; Above</t>
  </si>
  <si>
    <t>&lt;--Total GPA for Juniors &amp; Above</t>
  </si>
  <si>
    <t>Average GPA</t>
  </si>
  <si>
    <t>Average Credits</t>
  </si>
  <si>
    <t>Most Common Major</t>
  </si>
  <si>
    <t>All</t>
  </si>
  <si>
    <t>Total Credits</t>
  </si>
  <si>
    <t>Class Level &amp; Major</t>
  </si>
  <si>
    <t>Count Per Combo</t>
  </si>
  <si>
    <t>Integer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</si>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</sst>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.0"/>
  </numFmts>
  <fonts count="6" x14ac:knownFonts="1">
    <font>
      <sz val="10"/>
      <name val="Arial"/>
    </font>
    <font>
      <b/>
      <sz val="10"/>
      <color indexed="6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ED0000"/>
      <name val="Arial"/>
      <family val="2"/>
    </font>
    <font>
      <i/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E36D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3" fillId="3" borderId="1" xfId="0" applyFont="1" applyFill="1" applyBorder="1"/>
    <xf numFmtId="0" fontId="3" fillId="4" borderId="1" xfId="0" applyFont="1" applyFill="1" applyBorder="1"/>
    <xf numFmtId="0" fontId="0" fillId="4" borderId="1" xfId="0" applyFill="1" applyBorder="1"/>
    <xf numFmtId="0" fontId="0" fillId="0" borderId="1" xfId="0" applyBorder="1" applyAlignment="1">
      <alignment horizontal="center"/>
    </xf>
    <xf numFmtId="0" fontId="3" fillId="5" borderId="1" xfId="0" applyFont="1" applyFill="1" applyBorder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 indent="1"/>
    </xf>
    <xf numFmtId="0" fontId="3" fillId="5" borderId="1" xfId="0" applyFont="1" applyFill="1" applyBorder="1" applyAlignment="1">
      <alignment horizontal="left" indent="1"/>
    </xf>
    <xf numFmtId="165" fontId="1" fillId="2" borderId="1" xfId="0" applyNumberFormat="1" applyFont="1" applyFill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6" borderId="1" xfId="0" applyFont="1" applyFill="1" applyBorder="1" applyAlignment="1">
      <alignment horizontal="left" indent="1"/>
    </xf>
    <xf numFmtId="0" fontId="3" fillId="7" borderId="1" xfId="0" applyFont="1" applyFill="1" applyBorder="1"/>
    <xf numFmtId="2" fontId="3" fillId="7" borderId="1" xfId="0" applyNumberFormat="1" applyFont="1" applyFill="1" applyBorder="1" applyAlignment="1">
      <alignment horizontal="left" indent="1"/>
    </xf>
    <xf numFmtId="0" fontId="3" fillId="6" borderId="1" xfId="0" applyFont="1" applyFill="1" applyBorder="1" applyAlignment="1">
      <alignment horizontal="left"/>
    </xf>
    <xf numFmtId="2" fontId="3" fillId="6" borderId="1" xfId="0" applyNumberFormat="1" applyFont="1" applyFill="1" applyBorder="1" applyAlignment="1">
      <alignment horizontal="left" indent="1"/>
    </xf>
    <xf numFmtId="165" fontId="3" fillId="7" borderId="1" xfId="0" applyNumberFormat="1" applyFont="1" applyFill="1" applyBorder="1" applyAlignment="1">
      <alignment horizontal="left" indent="1"/>
    </xf>
    <xf numFmtId="165" fontId="3" fillId="6" borderId="1" xfId="0" applyNumberFormat="1" applyFont="1" applyFill="1" applyBorder="1" applyAlignment="1">
      <alignment horizontal="left" indent="1"/>
    </xf>
    <xf numFmtId="0" fontId="3" fillId="8" borderId="1" xfId="0" applyFont="1" applyFill="1" applyBorder="1"/>
    <xf numFmtId="0" fontId="4" fillId="0" borderId="5" xfId="0" applyFont="1" applyBorder="1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6" xfId="0" applyFont="1" applyBorder="1"/>
    <xf numFmtId="0" fontId="1" fillId="9" borderId="5" xfId="0" applyFont="1" applyFill="1" applyBorder="1" applyAlignment="1">
      <alignment horizontal="center"/>
    </xf>
    <xf numFmtId="0" fontId="0" fillId="10" borderId="0" xfId="0" applyFill="1"/>
    <xf numFmtId="0" fontId="2" fillId="10" borderId="0" xfId="0" applyFont="1" applyFill="1"/>
    <xf numFmtId="0" fontId="5" fillId="0" borderId="3" xfId="0" applyFont="1" applyBorder="1"/>
    <xf numFmtId="2" fontId="0" fillId="0" borderId="9" xfId="0" applyNumberFormat="1" applyBorder="1"/>
    <xf numFmtId="165" fontId="0" fillId="0" borderId="9" xfId="0" applyNumberFormat="1" applyBorder="1"/>
    <xf numFmtId="0" fontId="3" fillId="0" borderId="2" xfId="0" applyFont="1" applyBorder="1"/>
    <xf numFmtId="0" fontId="3" fillId="0" borderId="10" xfId="0" applyFont="1" applyBorder="1"/>
    <xf numFmtId="0" fontId="3" fillId="0" borderId="8" xfId="0" applyFont="1" applyBorder="1"/>
    <xf numFmtId="0" fontId="0" fillId="0" borderId="7" xfId="0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4" xfId="0" applyFont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ECEF-996F-447D-A71F-8506138BD33C}">
  <dimension ref="A1:B2"/>
  <sheetViews>
    <sheetView zoomScale="208" zoomScaleNormal="208" workbookViewId="0">
      <selection activeCell="B6" sqref="B6"/>
    </sheetView>
  </sheetViews>
  <sheetFormatPr baseColWidth="10" defaultColWidth="8.83203125" defaultRowHeight="13" x14ac:dyDescent="0.15"/>
  <cols>
    <col min="1" max="1" width="8.1640625" bestFit="1" customWidth="1"/>
    <col min="2" max="2" width="22.83203125" bestFit="1" customWidth="1"/>
  </cols>
  <sheetData>
    <row r="1" spans="1:2" x14ac:dyDescent="0.15">
      <c r="A1" s="31" t="s">
        <v>223</v>
      </c>
      <c r="B1" s="31" t="s">
        <v>203</v>
      </c>
    </row>
    <row r="2" spans="1:2" x14ac:dyDescent="0.15">
      <c r="A2" s="15">
        <v>-3</v>
      </c>
      <c r="B2" s="15" t="str" cm="1">
        <f t="array" ref="B2">_xlfn.IFS(A2&gt;0, "Positive", A2&lt;0, "Negative", A2=0, "Zero")</f>
        <v>Negative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020E-E90F-4373-A4F5-2879B7D22A44}">
  <sheetPr>
    <tabColor rgb="FFFF0000"/>
  </sheetPr>
  <dimension ref="A1"/>
  <sheetViews>
    <sheetView workbookViewId="0">
      <selection activeCell="F25" sqref="F25"/>
    </sheetView>
  </sheetViews>
  <sheetFormatPr baseColWidth="10" defaultColWidth="8.83203125" defaultRowHeight="13" x14ac:dyDescent="0.15"/>
  <sheetData>
    <row r="1" spans="1:1" x14ac:dyDescent="0.15">
      <c r="A1" s="4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1:K97"/>
  <sheetViews>
    <sheetView tabSelected="1" zoomScaleNormal="100" workbookViewId="0">
      <pane ySplit="1" topLeftCell="A66" activePane="bottomLeft" state="frozen"/>
      <selection pane="bottomLeft" activeCell="K90" sqref="K90:K94"/>
    </sheetView>
  </sheetViews>
  <sheetFormatPr baseColWidth="10" defaultColWidth="8.83203125" defaultRowHeight="13" x14ac:dyDescent="0.15"/>
  <cols>
    <col min="1" max="1" width="22.33203125" style="1" customWidth="1"/>
    <col min="2" max="3" width="16.1640625" customWidth="1"/>
    <col min="4" max="4" width="12" style="1" customWidth="1"/>
    <col min="5" max="5" width="17.1640625" style="1" customWidth="1"/>
    <col min="6" max="6" width="24.6640625" style="1" customWidth="1"/>
    <col min="7" max="7" width="11.33203125" style="3" bestFit="1" customWidth="1"/>
    <col min="8" max="8" width="13.33203125" bestFit="1" customWidth="1"/>
    <col min="9" max="9" width="15.5" bestFit="1" customWidth="1"/>
    <col min="10" max="10" width="12.5" bestFit="1" customWidth="1"/>
    <col min="11" max="11" width="19.83203125" bestFit="1" customWidth="1"/>
  </cols>
  <sheetData>
    <row r="1" spans="1:1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1" t="s">
        <v>6</v>
      </c>
      <c r="H1" s="20" t="s">
        <v>7</v>
      </c>
      <c r="I1" s="36" t="s">
        <v>221</v>
      </c>
      <c r="J1" s="36" t="s">
        <v>222</v>
      </c>
    </row>
    <row r="2" spans="1:10" x14ac:dyDescent="0.15">
      <c r="A2" s="14">
        <v>1</v>
      </c>
      <c r="B2" s="15" t="s">
        <v>8</v>
      </c>
      <c r="C2" s="15" t="s">
        <v>9</v>
      </c>
      <c r="D2" s="12">
        <v>4</v>
      </c>
      <c r="E2" s="12" t="s">
        <v>10</v>
      </c>
      <c r="F2" s="12" t="s">
        <v>11</v>
      </c>
      <c r="G2" s="22">
        <v>3.9</v>
      </c>
      <c r="H2" s="23">
        <v>16</v>
      </c>
      <c r="I2" s="37" t="str">
        <f>D2 &amp; " - " &amp; F2</f>
        <v>4 - Pre-Med</v>
      </c>
      <c r="J2" s="38">
        <f>COUNTIF(I$2:I$81, I2)</f>
        <v>3</v>
      </c>
    </row>
    <row r="3" spans="1:10" x14ac:dyDescent="0.15">
      <c r="A3" s="14">
        <v>2</v>
      </c>
      <c r="B3" s="15" t="s">
        <v>12</v>
      </c>
      <c r="C3" s="15" t="s">
        <v>13</v>
      </c>
      <c r="D3" s="12">
        <v>4</v>
      </c>
      <c r="E3" s="12" t="s">
        <v>14</v>
      </c>
      <c r="F3" s="12" t="s">
        <v>15</v>
      </c>
      <c r="G3" s="22">
        <v>2.8</v>
      </c>
      <c r="H3" s="23">
        <v>17</v>
      </c>
      <c r="I3" s="37" t="str">
        <f t="shared" ref="I3:I66" si="0">D3 &amp; " - " &amp; F3</f>
        <v>4 - Psychology</v>
      </c>
      <c r="J3" s="38">
        <f t="shared" ref="J3:J66" si="1">COUNTIF(I$2:I$81, I3)</f>
        <v>3</v>
      </c>
    </row>
    <row r="4" spans="1:10" x14ac:dyDescent="0.15">
      <c r="A4" s="14">
        <v>3</v>
      </c>
      <c r="B4" s="15" t="s">
        <v>16</v>
      </c>
      <c r="C4" s="15" t="s">
        <v>17</v>
      </c>
      <c r="D4" s="12">
        <v>4</v>
      </c>
      <c r="E4" s="12" t="s">
        <v>18</v>
      </c>
      <c r="F4" s="12" t="s">
        <v>19</v>
      </c>
      <c r="G4" s="22">
        <v>4</v>
      </c>
      <c r="H4" s="23">
        <v>15</v>
      </c>
      <c r="I4" s="37" t="str">
        <f t="shared" si="0"/>
        <v>4 - Undecided</v>
      </c>
      <c r="J4" s="38">
        <f t="shared" si="1"/>
        <v>3</v>
      </c>
    </row>
    <row r="5" spans="1:10" x14ac:dyDescent="0.15">
      <c r="A5" s="14">
        <v>4</v>
      </c>
      <c r="B5" s="15" t="s">
        <v>20</v>
      </c>
      <c r="C5" s="15" t="s">
        <v>21</v>
      </c>
      <c r="D5" s="12">
        <v>4</v>
      </c>
      <c r="E5" s="12" t="s">
        <v>22</v>
      </c>
      <c r="F5" s="12" t="s">
        <v>11</v>
      </c>
      <c r="G5" s="22">
        <v>1</v>
      </c>
      <c r="H5" s="23">
        <v>18</v>
      </c>
      <c r="I5" s="37" t="str">
        <f t="shared" si="0"/>
        <v>4 - Pre-Med</v>
      </c>
      <c r="J5" s="38">
        <f t="shared" si="1"/>
        <v>3</v>
      </c>
    </row>
    <row r="6" spans="1:10" x14ac:dyDescent="0.15">
      <c r="A6" s="14">
        <v>5</v>
      </c>
      <c r="B6" s="15" t="s">
        <v>23</v>
      </c>
      <c r="C6" s="15" t="s">
        <v>24</v>
      </c>
      <c r="D6" s="12">
        <v>2</v>
      </c>
      <c r="E6" s="12" t="s">
        <v>25</v>
      </c>
      <c r="F6" s="12" t="s">
        <v>19</v>
      </c>
      <c r="G6" s="22">
        <v>2.0099999999999998</v>
      </c>
      <c r="H6" s="23">
        <v>15</v>
      </c>
      <c r="I6" s="37" t="str">
        <f t="shared" si="0"/>
        <v>2 - Undecided</v>
      </c>
      <c r="J6" s="38">
        <f t="shared" si="1"/>
        <v>1</v>
      </c>
    </row>
    <row r="7" spans="1:10" x14ac:dyDescent="0.15">
      <c r="A7" s="14">
        <v>6</v>
      </c>
      <c r="B7" s="15" t="s">
        <v>26</v>
      </c>
      <c r="C7" s="15" t="s">
        <v>27</v>
      </c>
      <c r="D7" s="12">
        <v>4</v>
      </c>
      <c r="E7" s="12" t="s">
        <v>28</v>
      </c>
      <c r="F7" s="12" t="s">
        <v>29</v>
      </c>
      <c r="G7" s="22">
        <v>3.99</v>
      </c>
      <c r="H7" s="23">
        <v>15</v>
      </c>
      <c r="I7" s="37" t="str">
        <f t="shared" si="0"/>
        <v>4 - English</v>
      </c>
      <c r="J7" s="38">
        <f t="shared" si="1"/>
        <v>1</v>
      </c>
    </row>
    <row r="8" spans="1:10" x14ac:dyDescent="0.15">
      <c r="A8" s="14">
        <v>7</v>
      </c>
      <c r="B8" s="15" t="s">
        <v>30</v>
      </c>
      <c r="C8" s="15" t="s">
        <v>31</v>
      </c>
      <c r="D8" s="12">
        <v>4</v>
      </c>
      <c r="E8" s="12" t="s">
        <v>32</v>
      </c>
      <c r="F8" s="12" t="s">
        <v>33</v>
      </c>
      <c r="G8" s="22">
        <v>3</v>
      </c>
      <c r="H8" s="23">
        <v>17</v>
      </c>
      <c r="I8" s="37" t="str">
        <f t="shared" si="0"/>
        <v>4 - Poli Sci</v>
      </c>
      <c r="J8" s="38">
        <f t="shared" si="1"/>
        <v>2</v>
      </c>
    </row>
    <row r="9" spans="1:10" x14ac:dyDescent="0.15">
      <c r="A9" s="14">
        <v>8</v>
      </c>
      <c r="B9" s="15" t="s">
        <v>34</v>
      </c>
      <c r="C9" s="15" t="s">
        <v>35</v>
      </c>
      <c r="D9" s="12">
        <v>4</v>
      </c>
      <c r="E9" s="12" t="s">
        <v>36</v>
      </c>
      <c r="F9" s="12" t="s">
        <v>15</v>
      </c>
      <c r="G9" s="22">
        <v>3.52</v>
      </c>
      <c r="H9" s="23">
        <v>14</v>
      </c>
      <c r="I9" s="37" t="str">
        <f t="shared" si="0"/>
        <v>4 - Psychology</v>
      </c>
      <c r="J9" s="38">
        <f t="shared" si="1"/>
        <v>3</v>
      </c>
    </row>
    <row r="10" spans="1:10" x14ac:dyDescent="0.15">
      <c r="A10" s="14">
        <v>9</v>
      </c>
      <c r="B10" s="16" t="s">
        <v>37</v>
      </c>
      <c r="C10" s="16" t="s">
        <v>38</v>
      </c>
      <c r="D10" s="12">
        <v>1</v>
      </c>
      <c r="E10" s="17" t="s">
        <v>14</v>
      </c>
      <c r="F10" s="17" t="s">
        <v>39</v>
      </c>
      <c r="G10" s="22">
        <v>4</v>
      </c>
      <c r="H10" s="23">
        <v>12</v>
      </c>
      <c r="I10" s="37" t="str">
        <f t="shared" si="0"/>
        <v>1 - Computing</v>
      </c>
      <c r="J10" s="38">
        <f t="shared" si="1"/>
        <v>3</v>
      </c>
    </row>
    <row r="11" spans="1:10" x14ac:dyDescent="0.15">
      <c r="A11" s="14">
        <v>10</v>
      </c>
      <c r="B11" s="16" t="s">
        <v>40</v>
      </c>
      <c r="C11" s="16" t="s">
        <v>41</v>
      </c>
      <c r="D11" s="12">
        <v>1</v>
      </c>
      <c r="E11" s="17" t="s">
        <v>28</v>
      </c>
      <c r="F11" s="17" t="s">
        <v>15</v>
      </c>
      <c r="G11" s="22">
        <v>4</v>
      </c>
      <c r="H11" s="23">
        <v>15</v>
      </c>
      <c r="I11" s="37" t="str">
        <f t="shared" si="0"/>
        <v>1 - Psychology</v>
      </c>
      <c r="J11" s="38">
        <f t="shared" si="1"/>
        <v>1</v>
      </c>
    </row>
    <row r="12" spans="1:10" x14ac:dyDescent="0.15">
      <c r="A12" s="14">
        <v>11</v>
      </c>
      <c r="B12" s="16" t="s">
        <v>42</v>
      </c>
      <c r="C12" s="16" t="s">
        <v>43</v>
      </c>
      <c r="D12" s="12">
        <v>4</v>
      </c>
      <c r="E12" s="17" t="s">
        <v>44</v>
      </c>
      <c r="F12" s="17" t="s">
        <v>45</v>
      </c>
      <c r="G12" s="22">
        <v>3.5</v>
      </c>
      <c r="H12" s="23">
        <v>13</v>
      </c>
      <c r="I12" s="37" t="str">
        <f t="shared" si="0"/>
        <v>4 - Drama</v>
      </c>
      <c r="J12" s="38">
        <f t="shared" si="1"/>
        <v>2</v>
      </c>
    </row>
    <row r="13" spans="1:10" x14ac:dyDescent="0.15">
      <c r="A13" s="14">
        <v>12</v>
      </c>
      <c r="B13" s="15" t="s">
        <v>46</v>
      </c>
      <c r="C13" s="15" t="s">
        <v>47</v>
      </c>
      <c r="D13" s="12">
        <v>4</v>
      </c>
      <c r="E13" s="12" t="s">
        <v>48</v>
      </c>
      <c r="F13" s="12" t="s">
        <v>49</v>
      </c>
      <c r="G13" s="22">
        <v>2.9</v>
      </c>
      <c r="H13" s="23">
        <v>16</v>
      </c>
      <c r="I13" s="37" t="str">
        <f t="shared" si="0"/>
        <v>4 - Religion</v>
      </c>
      <c r="J13" s="38">
        <f t="shared" si="1"/>
        <v>2</v>
      </c>
    </row>
    <row r="14" spans="1:10" x14ac:dyDescent="0.15">
      <c r="A14" s="14">
        <v>13</v>
      </c>
      <c r="B14" s="15" t="s">
        <v>50</v>
      </c>
      <c r="C14" s="15" t="s">
        <v>51</v>
      </c>
      <c r="D14" s="12">
        <v>4</v>
      </c>
      <c r="E14" s="12" t="s">
        <v>52</v>
      </c>
      <c r="F14" s="12" t="s">
        <v>49</v>
      </c>
      <c r="G14" s="22">
        <v>3.2</v>
      </c>
      <c r="H14" s="23">
        <v>12</v>
      </c>
      <c r="I14" s="37" t="str">
        <f t="shared" si="0"/>
        <v>4 - Religion</v>
      </c>
      <c r="J14" s="38">
        <f t="shared" si="1"/>
        <v>2</v>
      </c>
    </row>
    <row r="15" spans="1:10" x14ac:dyDescent="0.15">
      <c r="A15" s="14">
        <v>14</v>
      </c>
      <c r="B15" s="15" t="s">
        <v>53</v>
      </c>
      <c r="C15" s="15" t="s">
        <v>54</v>
      </c>
      <c r="D15" s="12">
        <v>4</v>
      </c>
      <c r="E15" s="12" t="s">
        <v>18</v>
      </c>
      <c r="F15" s="12" t="s">
        <v>33</v>
      </c>
      <c r="G15" s="22">
        <v>3</v>
      </c>
      <c r="H15" s="23">
        <v>13</v>
      </c>
      <c r="I15" s="37" t="str">
        <f t="shared" si="0"/>
        <v>4 - Poli Sci</v>
      </c>
      <c r="J15" s="38">
        <f t="shared" si="1"/>
        <v>2</v>
      </c>
    </row>
    <row r="16" spans="1:10" x14ac:dyDescent="0.15">
      <c r="A16" s="14">
        <v>15</v>
      </c>
      <c r="B16" s="15" t="s">
        <v>55</v>
      </c>
      <c r="C16" s="15" t="s">
        <v>56</v>
      </c>
      <c r="D16" s="12">
        <v>4</v>
      </c>
      <c r="E16" s="12" t="s">
        <v>14</v>
      </c>
      <c r="F16" s="12" t="s">
        <v>45</v>
      </c>
      <c r="G16" s="22">
        <v>4</v>
      </c>
      <c r="H16" s="23">
        <v>13</v>
      </c>
      <c r="I16" s="37" t="str">
        <f t="shared" si="0"/>
        <v>4 - Drama</v>
      </c>
      <c r="J16" s="38">
        <f t="shared" si="1"/>
        <v>2</v>
      </c>
    </row>
    <row r="17" spans="1:10" x14ac:dyDescent="0.15">
      <c r="A17" s="14">
        <v>16</v>
      </c>
      <c r="B17" s="16" t="s">
        <v>57</v>
      </c>
      <c r="C17" s="16" t="s">
        <v>58</v>
      </c>
      <c r="D17" s="12">
        <v>1</v>
      </c>
      <c r="E17" s="17" t="s">
        <v>18</v>
      </c>
      <c r="F17" s="17" t="s">
        <v>59</v>
      </c>
      <c r="G17" s="22">
        <v>4</v>
      </c>
      <c r="H17" s="23">
        <v>16</v>
      </c>
      <c r="I17" s="37" t="str">
        <f t="shared" si="0"/>
        <v>1 - Mathematics</v>
      </c>
      <c r="J17" s="38">
        <f t="shared" si="1"/>
        <v>1</v>
      </c>
    </row>
    <row r="18" spans="1:10" x14ac:dyDescent="0.15">
      <c r="A18" s="14">
        <v>17</v>
      </c>
      <c r="B18" s="15" t="s">
        <v>60</v>
      </c>
      <c r="C18" s="15" t="s">
        <v>61</v>
      </c>
      <c r="D18" s="12">
        <v>4</v>
      </c>
      <c r="E18" s="12" t="s">
        <v>62</v>
      </c>
      <c r="F18" s="12" t="s">
        <v>63</v>
      </c>
      <c r="G18" s="22">
        <v>4</v>
      </c>
      <c r="H18" s="23">
        <v>15</v>
      </c>
      <c r="I18" s="37" t="str">
        <f t="shared" si="0"/>
        <v>4 - Speech</v>
      </c>
      <c r="J18" s="38">
        <f t="shared" si="1"/>
        <v>1</v>
      </c>
    </row>
    <row r="19" spans="1:10" x14ac:dyDescent="0.15">
      <c r="A19" s="14">
        <v>18</v>
      </c>
      <c r="B19" s="15" t="s">
        <v>64</v>
      </c>
      <c r="C19" s="15" t="s">
        <v>65</v>
      </c>
      <c r="D19" s="12">
        <v>4</v>
      </c>
      <c r="E19" s="12" t="s">
        <v>66</v>
      </c>
      <c r="F19" s="12" t="s">
        <v>67</v>
      </c>
      <c r="G19" s="22">
        <v>3.5</v>
      </c>
      <c r="H19" s="23">
        <v>13</v>
      </c>
      <c r="I19" s="37" t="str">
        <f t="shared" si="0"/>
        <v>4 - Music</v>
      </c>
      <c r="J19" s="38">
        <f t="shared" si="1"/>
        <v>1</v>
      </c>
    </row>
    <row r="20" spans="1:10" x14ac:dyDescent="0.15">
      <c r="A20" s="14">
        <v>19</v>
      </c>
      <c r="B20" s="16" t="s">
        <v>68</v>
      </c>
      <c r="C20" s="16" t="s">
        <v>69</v>
      </c>
      <c r="D20" s="12">
        <v>3</v>
      </c>
      <c r="E20" s="17" t="s">
        <v>66</v>
      </c>
      <c r="F20" s="17" t="s">
        <v>67</v>
      </c>
      <c r="G20" s="22">
        <v>3</v>
      </c>
      <c r="H20" s="23">
        <v>18</v>
      </c>
      <c r="I20" s="37" t="str">
        <f t="shared" si="0"/>
        <v>3 - Music</v>
      </c>
      <c r="J20" s="38">
        <f t="shared" si="1"/>
        <v>1</v>
      </c>
    </row>
    <row r="21" spans="1:10" x14ac:dyDescent="0.15">
      <c r="A21" s="14">
        <v>20</v>
      </c>
      <c r="B21" s="16" t="s">
        <v>70</v>
      </c>
      <c r="C21" s="16" t="s">
        <v>71</v>
      </c>
      <c r="D21" s="12">
        <v>1</v>
      </c>
      <c r="E21" s="17" t="s">
        <v>14</v>
      </c>
      <c r="F21" s="17" t="s">
        <v>67</v>
      </c>
      <c r="G21" s="22">
        <v>2.5</v>
      </c>
      <c r="H21" s="23">
        <v>14</v>
      </c>
      <c r="I21" s="37" t="str">
        <f t="shared" si="0"/>
        <v>1 - Music</v>
      </c>
      <c r="J21" s="38">
        <f t="shared" si="1"/>
        <v>6</v>
      </c>
    </row>
    <row r="22" spans="1:10" x14ac:dyDescent="0.15">
      <c r="A22" s="14">
        <v>21</v>
      </c>
      <c r="B22" s="15" t="s">
        <v>72</v>
      </c>
      <c r="C22" s="15" t="s">
        <v>73</v>
      </c>
      <c r="D22" s="12">
        <v>1</v>
      </c>
      <c r="E22" s="12" t="s">
        <v>74</v>
      </c>
      <c r="F22" s="12" t="s">
        <v>67</v>
      </c>
      <c r="G22" s="22">
        <v>3</v>
      </c>
      <c r="H22" s="23">
        <v>17</v>
      </c>
      <c r="I22" s="37" t="str">
        <f t="shared" si="0"/>
        <v>1 - Music</v>
      </c>
      <c r="J22" s="38">
        <f t="shared" si="1"/>
        <v>6</v>
      </c>
    </row>
    <row r="23" spans="1:10" x14ac:dyDescent="0.15">
      <c r="A23" s="14">
        <v>22</v>
      </c>
      <c r="B23" s="15" t="s">
        <v>75</v>
      </c>
      <c r="C23" s="15" t="s">
        <v>76</v>
      </c>
      <c r="D23" s="12">
        <v>3</v>
      </c>
      <c r="E23" s="12" t="s">
        <v>28</v>
      </c>
      <c r="F23" s="12" t="s">
        <v>77</v>
      </c>
      <c r="G23" s="22">
        <v>3.98</v>
      </c>
      <c r="H23" s="23">
        <v>18</v>
      </c>
      <c r="I23" s="37" t="str">
        <f t="shared" si="0"/>
        <v>3 - Business</v>
      </c>
      <c r="J23" s="38">
        <f t="shared" si="1"/>
        <v>4</v>
      </c>
    </row>
    <row r="24" spans="1:10" x14ac:dyDescent="0.15">
      <c r="A24" s="14">
        <v>23</v>
      </c>
      <c r="B24" s="16" t="s">
        <v>78</v>
      </c>
      <c r="C24" s="16" t="s">
        <v>79</v>
      </c>
      <c r="D24" s="12">
        <v>1</v>
      </c>
      <c r="E24" s="17" t="s">
        <v>18</v>
      </c>
      <c r="F24" s="17" t="s">
        <v>80</v>
      </c>
      <c r="G24" s="22">
        <v>4</v>
      </c>
      <c r="H24" s="23">
        <v>17</v>
      </c>
      <c r="I24" s="37" t="str">
        <f t="shared" si="0"/>
        <v>1 - Phys Ed</v>
      </c>
      <c r="J24" s="38">
        <f t="shared" si="1"/>
        <v>4</v>
      </c>
    </row>
    <row r="25" spans="1:10" x14ac:dyDescent="0.15">
      <c r="A25" s="14">
        <v>24</v>
      </c>
      <c r="B25" s="16" t="s">
        <v>81</v>
      </c>
      <c r="C25" s="16" t="s">
        <v>82</v>
      </c>
      <c r="D25" s="12">
        <v>2</v>
      </c>
      <c r="E25" s="17" t="s">
        <v>83</v>
      </c>
      <c r="F25" s="17" t="s">
        <v>29</v>
      </c>
      <c r="G25" s="22">
        <v>3.6</v>
      </c>
      <c r="H25" s="23">
        <v>16</v>
      </c>
      <c r="I25" s="37" t="str">
        <f t="shared" si="0"/>
        <v>2 - English</v>
      </c>
      <c r="J25" s="38">
        <f t="shared" si="1"/>
        <v>1</v>
      </c>
    </row>
    <row r="26" spans="1:10" x14ac:dyDescent="0.15">
      <c r="A26" s="14">
        <v>25</v>
      </c>
      <c r="B26" s="16" t="s">
        <v>84</v>
      </c>
      <c r="C26" s="16" t="s">
        <v>85</v>
      </c>
      <c r="D26" s="12">
        <v>2</v>
      </c>
      <c r="E26" s="17" t="s">
        <v>14</v>
      </c>
      <c r="F26" s="17" t="s">
        <v>80</v>
      </c>
      <c r="G26" s="22">
        <v>3</v>
      </c>
      <c r="H26" s="23">
        <v>18</v>
      </c>
      <c r="I26" s="37" t="str">
        <f t="shared" si="0"/>
        <v>2 - Phys Ed</v>
      </c>
      <c r="J26" s="38">
        <f t="shared" si="1"/>
        <v>3</v>
      </c>
    </row>
    <row r="27" spans="1:10" x14ac:dyDescent="0.15">
      <c r="A27" s="14">
        <v>26</v>
      </c>
      <c r="B27" s="15" t="s">
        <v>86</v>
      </c>
      <c r="C27" s="15" t="s">
        <v>87</v>
      </c>
      <c r="D27" s="12">
        <v>3</v>
      </c>
      <c r="E27" s="12" t="s">
        <v>28</v>
      </c>
      <c r="F27" s="12" t="s">
        <v>80</v>
      </c>
      <c r="G27" s="22">
        <v>2.2000000000000002</v>
      </c>
      <c r="H27" s="23">
        <v>14</v>
      </c>
      <c r="I27" s="37" t="str">
        <f t="shared" si="0"/>
        <v>3 - Phys Ed</v>
      </c>
      <c r="J27" s="38">
        <f t="shared" si="1"/>
        <v>3</v>
      </c>
    </row>
    <row r="28" spans="1:10" x14ac:dyDescent="0.15">
      <c r="A28" s="14">
        <v>27</v>
      </c>
      <c r="B28" s="15" t="s">
        <v>88</v>
      </c>
      <c r="C28" s="15" t="s">
        <v>89</v>
      </c>
      <c r="D28" s="12">
        <v>3</v>
      </c>
      <c r="E28" s="12" t="s">
        <v>36</v>
      </c>
      <c r="F28" s="12" t="s">
        <v>29</v>
      </c>
      <c r="G28" s="22">
        <v>3</v>
      </c>
      <c r="H28" s="23">
        <v>15</v>
      </c>
      <c r="I28" s="37" t="str">
        <f t="shared" si="0"/>
        <v>3 - English</v>
      </c>
      <c r="J28" s="38">
        <f t="shared" si="1"/>
        <v>3</v>
      </c>
    </row>
    <row r="29" spans="1:10" x14ac:dyDescent="0.15">
      <c r="A29" s="14">
        <v>28</v>
      </c>
      <c r="B29" s="15" t="s">
        <v>90</v>
      </c>
      <c r="C29" s="15" t="s">
        <v>91</v>
      </c>
      <c r="D29" s="12">
        <v>3</v>
      </c>
      <c r="E29" s="12" t="s">
        <v>92</v>
      </c>
      <c r="F29" s="12" t="s">
        <v>93</v>
      </c>
      <c r="G29" s="22">
        <v>2.2000000000000002</v>
      </c>
      <c r="H29" s="23">
        <v>17</v>
      </c>
      <c r="I29" s="37" t="str">
        <f t="shared" si="0"/>
        <v>3 - Agriculture</v>
      </c>
      <c r="J29" s="38">
        <f t="shared" si="1"/>
        <v>1</v>
      </c>
    </row>
    <row r="30" spans="1:10" x14ac:dyDescent="0.15">
      <c r="A30" s="14">
        <v>29</v>
      </c>
      <c r="B30" s="15" t="s">
        <v>94</v>
      </c>
      <c r="C30" s="15" t="s">
        <v>95</v>
      </c>
      <c r="D30" s="12">
        <v>3</v>
      </c>
      <c r="E30" s="12" t="s">
        <v>25</v>
      </c>
      <c r="F30" s="12" t="s">
        <v>63</v>
      </c>
      <c r="G30" s="22">
        <v>2.8</v>
      </c>
      <c r="H30" s="23">
        <v>13</v>
      </c>
      <c r="I30" s="37" t="str">
        <f t="shared" si="0"/>
        <v>3 - Speech</v>
      </c>
      <c r="J30" s="38">
        <f t="shared" si="1"/>
        <v>1</v>
      </c>
    </row>
    <row r="31" spans="1:10" x14ac:dyDescent="0.15">
      <c r="A31" s="14">
        <v>30</v>
      </c>
      <c r="B31" s="15" t="s">
        <v>60</v>
      </c>
      <c r="C31" s="15" t="s">
        <v>96</v>
      </c>
      <c r="D31" s="12">
        <v>3</v>
      </c>
      <c r="E31" s="12" t="s">
        <v>62</v>
      </c>
      <c r="F31" s="12" t="s">
        <v>80</v>
      </c>
      <c r="G31" s="22">
        <v>1.3</v>
      </c>
      <c r="H31" s="23">
        <v>15</v>
      </c>
      <c r="I31" s="37" t="str">
        <f t="shared" si="0"/>
        <v>3 - Phys Ed</v>
      </c>
      <c r="J31" s="38">
        <f t="shared" si="1"/>
        <v>3</v>
      </c>
    </row>
    <row r="32" spans="1:10" x14ac:dyDescent="0.15">
      <c r="A32" s="14">
        <v>31</v>
      </c>
      <c r="B32" s="16" t="s">
        <v>97</v>
      </c>
      <c r="C32" s="16" t="s">
        <v>98</v>
      </c>
      <c r="D32" s="12">
        <v>4</v>
      </c>
      <c r="E32" s="17" t="s">
        <v>25</v>
      </c>
      <c r="F32" s="17" t="s">
        <v>39</v>
      </c>
      <c r="G32" s="22">
        <v>4</v>
      </c>
      <c r="H32" s="23">
        <v>16</v>
      </c>
      <c r="I32" s="37" t="str">
        <f t="shared" si="0"/>
        <v>4 - Computing</v>
      </c>
      <c r="J32" s="38">
        <f t="shared" si="1"/>
        <v>2</v>
      </c>
    </row>
    <row r="33" spans="1:10" x14ac:dyDescent="0.15">
      <c r="A33" s="14">
        <v>32</v>
      </c>
      <c r="B33" s="15" t="s">
        <v>60</v>
      </c>
      <c r="C33" s="15" t="s">
        <v>99</v>
      </c>
      <c r="D33" s="12">
        <v>3</v>
      </c>
      <c r="E33" s="12" t="s">
        <v>62</v>
      </c>
      <c r="F33" s="12" t="s">
        <v>100</v>
      </c>
      <c r="G33" s="22">
        <v>3.3</v>
      </c>
      <c r="H33" s="23">
        <v>16</v>
      </c>
      <c r="I33" s="37" t="str">
        <f t="shared" si="0"/>
        <v>3 - Nursing</v>
      </c>
      <c r="J33" s="38">
        <f t="shared" si="1"/>
        <v>1</v>
      </c>
    </row>
    <row r="34" spans="1:10" x14ac:dyDescent="0.15">
      <c r="A34" s="14">
        <v>33</v>
      </c>
      <c r="B34" s="16" t="s">
        <v>24</v>
      </c>
      <c r="C34" s="16" t="s">
        <v>101</v>
      </c>
      <c r="D34" s="12">
        <v>4</v>
      </c>
      <c r="E34" s="17" t="s">
        <v>14</v>
      </c>
      <c r="F34" s="17" t="s">
        <v>77</v>
      </c>
      <c r="G34" s="22">
        <v>3.5</v>
      </c>
      <c r="H34" s="23">
        <v>16</v>
      </c>
      <c r="I34" s="37" t="str">
        <f t="shared" si="0"/>
        <v>4 - Business</v>
      </c>
      <c r="J34" s="38">
        <f t="shared" si="1"/>
        <v>2</v>
      </c>
    </row>
    <row r="35" spans="1:10" x14ac:dyDescent="0.15">
      <c r="A35" s="14">
        <v>34</v>
      </c>
      <c r="B35" s="16" t="s">
        <v>102</v>
      </c>
      <c r="C35" s="16" t="s">
        <v>103</v>
      </c>
      <c r="D35" s="12">
        <v>4</v>
      </c>
      <c r="E35" s="17" t="s">
        <v>14</v>
      </c>
      <c r="F35" s="17" t="s">
        <v>11</v>
      </c>
      <c r="G35" s="22">
        <v>3.99</v>
      </c>
      <c r="H35" s="23">
        <v>17</v>
      </c>
      <c r="I35" s="37" t="str">
        <f t="shared" si="0"/>
        <v>4 - Pre-Med</v>
      </c>
      <c r="J35" s="38">
        <f t="shared" si="1"/>
        <v>3</v>
      </c>
    </row>
    <row r="36" spans="1:10" x14ac:dyDescent="0.15">
      <c r="A36" s="14">
        <v>35</v>
      </c>
      <c r="B36" s="15" t="s">
        <v>104</v>
      </c>
      <c r="C36" s="15" t="s">
        <v>105</v>
      </c>
      <c r="D36" s="12">
        <v>2</v>
      </c>
      <c r="E36" s="12" t="s">
        <v>22</v>
      </c>
      <c r="F36" s="12" t="s">
        <v>93</v>
      </c>
      <c r="G36" s="22">
        <v>2.2000000000000002</v>
      </c>
      <c r="H36" s="23">
        <v>16</v>
      </c>
      <c r="I36" s="37" t="str">
        <f t="shared" si="0"/>
        <v>2 - Agriculture</v>
      </c>
      <c r="J36" s="38">
        <f t="shared" si="1"/>
        <v>1</v>
      </c>
    </row>
    <row r="37" spans="1:10" x14ac:dyDescent="0.15">
      <c r="A37" s="14">
        <v>36</v>
      </c>
      <c r="B37" s="16" t="s">
        <v>106</v>
      </c>
      <c r="C37" s="16" t="s">
        <v>107</v>
      </c>
      <c r="D37" s="12">
        <v>1</v>
      </c>
      <c r="E37" s="17" t="s">
        <v>108</v>
      </c>
      <c r="F37" s="17" t="s">
        <v>39</v>
      </c>
      <c r="G37" s="22">
        <v>4</v>
      </c>
      <c r="H37" s="23">
        <v>15</v>
      </c>
      <c r="I37" s="37" t="str">
        <f t="shared" si="0"/>
        <v>1 - Computing</v>
      </c>
      <c r="J37" s="38">
        <f t="shared" si="1"/>
        <v>3</v>
      </c>
    </row>
    <row r="38" spans="1:10" x14ac:dyDescent="0.15">
      <c r="A38" s="14">
        <v>37</v>
      </c>
      <c r="B38" s="16" t="s">
        <v>109</v>
      </c>
      <c r="C38" s="16" t="s">
        <v>110</v>
      </c>
      <c r="D38" s="12">
        <v>3</v>
      </c>
      <c r="E38" s="17" t="s">
        <v>14</v>
      </c>
      <c r="F38" s="17" t="s">
        <v>29</v>
      </c>
      <c r="G38" s="22">
        <v>3.3</v>
      </c>
      <c r="H38" s="23">
        <v>13</v>
      </c>
      <c r="I38" s="37" t="str">
        <f t="shared" si="0"/>
        <v>3 - English</v>
      </c>
      <c r="J38" s="38">
        <f t="shared" si="1"/>
        <v>3</v>
      </c>
    </row>
    <row r="39" spans="1:10" x14ac:dyDescent="0.15">
      <c r="A39" s="14">
        <v>38</v>
      </c>
      <c r="B39" s="15" t="s">
        <v>111</v>
      </c>
      <c r="C39" s="15" t="s">
        <v>112</v>
      </c>
      <c r="D39" s="12">
        <v>2</v>
      </c>
      <c r="E39" s="12" t="s">
        <v>14</v>
      </c>
      <c r="F39" s="12" t="s">
        <v>45</v>
      </c>
      <c r="G39" s="22">
        <v>1.9</v>
      </c>
      <c r="H39" s="23">
        <v>15</v>
      </c>
      <c r="I39" s="37" t="str">
        <f t="shared" si="0"/>
        <v>2 - Drama</v>
      </c>
      <c r="J39" s="38">
        <f t="shared" si="1"/>
        <v>2</v>
      </c>
    </row>
    <row r="40" spans="1:10" x14ac:dyDescent="0.15">
      <c r="A40" s="14">
        <v>39</v>
      </c>
      <c r="B40" s="15" t="s">
        <v>113</v>
      </c>
      <c r="C40" s="15" t="s">
        <v>114</v>
      </c>
      <c r="D40" s="12">
        <v>1</v>
      </c>
      <c r="E40" s="12" t="s">
        <v>115</v>
      </c>
      <c r="F40" s="12" t="s">
        <v>67</v>
      </c>
      <c r="G40" s="22">
        <v>3</v>
      </c>
      <c r="H40" s="23">
        <v>16</v>
      </c>
      <c r="I40" s="37" t="str">
        <f t="shared" si="0"/>
        <v>1 - Music</v>
      </c>
      <c r="J40" s="38">
        <f t="shared" si="1"/>
        <v>6</v>
      </c>
    </row>
    <row r="41" spans="1:10" x14ac:dyDescent="0.15">
      <c r="A41" s="14">
        <v>40</v>
      </c>
      <c r="B41" s="15" t="s">
        <v>116</v>
      </c>
      <c r="C41" s="15" t="s">
        <v>117</v>
      </c>
      <c r="D41" s="12">
        <v>2</v>
      </c>
      <c r="E41" s="12" t="s">
        <v>118</v>
      </c>
      <c r="F41" s="12" t="s">
        <v>100</v>
      </c>
      <c r="G41" s="22">
        <v>3.5</v>
      </c>
      <c r="H41" s="23">
        <v>14</v>
      </c>
      <c r="I41" s="37" t="str">
        <f t="shared" si="0"/>
        <v>2 - Nursing</v>
      </c>
      <c r="J41" s="38">
        <f t="shared" si="1"/>
        <v>1</v>
      </c>
    </row>
    <row r="42" spans="1:10" x14ac:dyDescent="0.15">
      <c r="A42" s="14">
        <v>41</v>
      </c>
      <c r="B42" s="15" t="s">
        <v>119</v>
      </c>
      <c r="C42" s="15" t="s">
        <v>120</v>
      </c>
      <c r="D42" s="12">
        <v>3</v>
      </c>
      <c r="E42" s="12" t="s">
        <v>121</v>
      </c>
      <c r="F42" s="12" t="s">
        <v>77</v>
      </c>
      <c r="G42" s="22">
        <v>2.5</v>
      </c>
      <c r="H42" s="23">
        <v>18</v>
      </c>
      <c r="I42" s="37" t="str">
        <f t="shared" si="0"/>
        <v>3 - Business</v>
      </c>
      <c r="J42" s="38">
        <f t="shared" si="1"/>
        <v>4</v>
      </c>
    </row>
    <row r="43" spans="1:10" x14ac:dyDescent="0.15">
      <c r="A43" s="14">
        <v>42</v>
      </c>
      <c r="B43" s="15" t="s">
        <v>122</v>
      </c>
      <c r="C43" s="15" t="s">
        <v>123</v>
      </c>
      <c r="D43" s="12">
        <v>2</v>
      </c>
      <c r="E43" s="12" t="s">
        <v>25</v>
      </c>
      <c r="F43" s="12" t="s">
        <v>124</v>
      </c>
      <c r="G43" s="22">
        <v>1.1000000000000001</v>
      </c>
      <c r="H43" s="23">
        <v>16</v>
      </c>
      <c r="I43" s="37" t="str">
        <f t="shared" si="0"/>
        <v>2 - Philosophy</v>
      </c>
      <c r="J43" s="38">
        <f t="shared" si="1"/>
        <v>2</v>
      </c>
    </row>
    <row r="44" spans="1:10" x14ac:dyDescent="0.15">
      <c r="A44" s="14">
        <v>43</v>
      </c>
      <c r="B44" s="15" t="s">
        <v>125</v>
      </c>
      <c r="C44" s="15" t="s">
        <v>126</v>
      </c>
      <c r="D44" s="12">
        <v>1</v>
      </c>
      <c r="E44" s="12" t="s">
        <v>74</v>
      </c>
      <c r="F44" s="12" t="s">
        <v>80</v>
      </c>
      <c r="G44" s="22">
        <v>3.7</v>
      </c>
      <c r="H44" s="23">
        <v>16</v>
      </c>
      <c r="I44" s="37" t="str">
        <f t="shared" si="0"/>
        <v>1 - Phys Ed</v>
      </c>
      <c r="J44" s="38">
        <f t="shared" si="1"/>
        <v>4</v>
      </c>
    </row>
    <row r="45" spans="1:10" x14ac:dyDescent="0.15">
      <c r="A45" s="14">
        <v>44</v>
      </c>
      <c r="B45" s="16" t="s">
        <v>127</v>
      </c>
      <c r="C45" s="16" t="s">
        <v>128</v>
      </c>
      <c r="D45" s="12">
        <v>3</v>
      </c>
      <c r="E45" s="17" t="s">
        <v>66</v>
      </c>
      <c r="F45" s="17" t="s">
        <v>39</v>
      </c>
      <c r="G45" s="22">
        <v>4</v>
      </c>
      <c r="H45" s="23">
        <v>18</v>
      </c>
      <c r="I45" s="37" t="str">
        <f t="shared" si="0"/>
        <v>3 - Computing</v>
      </c>
      <c r="J45" s="38">
        <f t="shared" si="1"/>
        <v>1</v>
      </c>
    </row>
    <row r="46" spans="1:10" x14ac:dyDescent="0.15">
      <c r="A46" s="14">
        <v>45</v>
      </c>
      <c r="B46" s="16" t="s">
        <v>46</v>
      </c>
      <c r="C46" s="16" t="s">
        <v>129</v>
      </c>
      <c r="D46" s="12">
        <v>2</v>
      </c>
      <c r="E46" s="17" t="s">
        <v>48</v>
      </c>
      <c r="F46" s="17" t="s">
        <v>130</v>
      </c>
      <c r="G46" s="22">
        <v>2.5</v>
      </c>
      <c r="H46" s="23">
        <v>17</v>
      </c>
      <c r="I46" s="37" t="str">
        <f t="shared" si="0"/>
        <v>2 - Communications</v>
      </c>
      <c r="J46" s="38">
        <f t="shared" si="1"/>
        <v>1</v>
      </c>
    </row>
    <row r="47" spans="1:10" x14ac:dyDescent="0.15">
      <c r="A47" s="14">
        <v>46</v>
      </c>
      <c r="B47" s="15" t="s">
        <v>131</v>
      </c>
      <c r="C47" s="15" t="s">
        <v>132</v>
      </c>
      <c r="D47" s="12">
        <v>1</v>
      </c>
      <c r="E47" s="12" t="s">
        <v>25</v>
      </c>
      <c r="F47" s="12" t="s">
        <v>130</v>
      </c>
      <c r="G47" s="22">
        <v>1.2</v>
      </c>
      <c r="H47" s="23">
        <v>12</v>
      </c>
      <c r="I47" s="37" t="str">
        <f t="shared" si="0"/>
        <v>1 - Communications</v>
      </c>
      <c r="J47" s="38">
        <f t="shared" si="1"/>
        <v>1</v>
      </c>
    </row>
    <row r="48" spans="1:10" x14ac:dyDescent="0.15">
      <c r="A48" s="14">
        <v>47</v>
      </c>
      <c r="B48" s="15" t="s">
        <v>133</v>
      </c>
      <c r="C48" s="15" t="s">
        <v>134</v>
      </c>
      <c r="D48" s="12">
        <v>1</v>
      </c>
      <c r="E48" s="12" t="s">
        <v>135</v>
      </c>
      <c r="F48" s="12" t="s">
        <v>67</v>
      </c>
      <c r="G48" s="22">
        <v>3.75</v>
      </c>
      <c r="H48" s="23">
        <v>17</v>
      </c>
      <c r="I48" s="37" t="str">
        <f t="shared" si="0"/>
        <v>1 - Music</v>
      </c>
      <c r="J48" s="38">
        <f t="shared" si="1"/>
        <v>6</v>
      </c>
    </row>
    <row r="49" spans="1:10" x14ac:dyDescent="0.15">
      <c r="A49" s="14">
        <v>48</v>
      </c>
      <c r="B49" s="15" t="s">
        <v>60</v>
      </c>
      <c r="C49" s="15" t="s">
        <v>136</v>
      </c>
      <c r="D49" s="12">
        <v>1</v>
      </c>
      <c r="E49" s="12" t="s">
        <v>62</v>
      </c>
      <c r="F49" s="12" t="s">
        <v>19</v>
      </c>
      <c r="G49" s="22">
        <v>1</v>
      </c>
      <c r="H49" s="23">
        <v>17</v>
      </c>
      <c r="I49" s="37" t="str">
        <f t="shared" si="0"/>
        <v>1 - Undecided</v>
      </c>
      <c r="J49" s="38">
        <f t="shared" si="1"/>
        <v>1</v>
      </c>
    </row>
    <row r="50" spans="1:10" x14ac:dyDescent="0.15">
      <c r="A50" s="14">
        <v>49</v>
      </c>
      <c r="B50" s="15" t="s">
        <v>137</v>
      </c>
      <c r="C50" s="15" t="s">
        <v>138</v>
      </c>
      <c r="D50" s="12">
        <v>1</v>
      </c>
      <c r="E50" s="12" t="s">
        <v>14</v>
      </c>
      <c r="F50" s="12" t="s">
        <v>80</v>
      </c>
      <c r="G50" s="22">
        <v>0.25</v>
      </c>
      <c r="H50" s="23">
        <v>17</v>
      </c>
      <c r="I50" s="37" t="str">
        <f t="shared" si="0"/>
        <v>1 - Phys Ed</v>
      </c>
      <c r="J50" s="38">
        <f t="shared" si="1"/>
        <v>4</v>
      </c>
    </row>
    <row r="51" spans="1:10" x14ac:dyDescent="0.15">
      <c r="A51" s="14">
        <v>50</v>
      </c>
      <c r="B51" s="15" t="s">
        <v>12</v>
      </c>
      <c r="C51" s="15" t="s">
        <v>139</v>
      </c>
      <c r="D51" s="12">
        <v>1</v>
      </c>
      <c r="E51" s="12" t="s">
        <v>14</v>
      </c>
      <c r="F51" s="12" t="s">
        <v>124</v>
      </c>
      <c r="G51" s="22">
        <v>3.8</v>
      </c>
      <c r="H51" s="23">
        <v>15</v>
      </c>
      <c r="I51" s="37" t="str">
        <f t="shared" si="0"/>
        <v>1 - Philosophy</v>
      </c>
      <c r="J51" s="38">
        <f t="shared" si="1"/>
        <v>1</v>
      </c>
    </row>
    <row r="52" spans="1:10" x14ac:dyDescent="0.15">
      <c r="A52" s="14">
        <v>51</v>
      </c>
      <c r="B52" s="15" t="s">
        <v>140</v>
      </c>
      <c r="C52" s="15" t="s">
        <v>141</v>
      </c>
      <c r="D52" s="12">
        <v>1</v>
      </c>
      <c r="E52" s="12" t="s">
        <v>14</v>
      </c>
      <c r="F52" s="12" t="s">
        <v>67</v>
      </c>
      <c r="G52" s="22">
        <v>4</v>
      </c>
      <c r="H52" s="23">
        <v>14</v>
      </c>
      <c r="I52" s="37" t="str">
        <f t="shared" si="0"/>
        <v>1 - Music</v>
      </c>
      <c r="J52" s="38">
        <f t="shared" si="1"/>
        <v>6</v>
      </c>
    </row>
    <row r="53" spans="1:10" x14ac:dyDescent="0.15">
      <c r="A53" s="14">
        <v>52</v>
      </c>
      <c r="B53" s="16" t="s">
        <v>142</v>
      </c>
      <c r="C53" s="16" t="s">
        <v>143</v>
      </c>
      <c r="D53" s="12">
        <v>3</v>
      </c>
      <c r="E53" s="12" t="s">
        <v>14</v>
      </c>
      <c r="F53" s="17" t="s">
        <v>29</v>
      </c>
      <c r="G53" s="22">
        <v>3</v>
      </c>
      <c r="H53" s="23">
        <v>16</v>
      </c>
      <c r="I53" s="37" t="str">
        <f t="shared" si="0"/>
        <v>3 - English</v>
      </c>
      <c r="J53" s="38">
        <f t="shared" si="1"/>
        <v>3</v>
      </c>
    </row>
    <row r="54" spans="1:10" x14ac:dyDescent="0.15">
      <c r="A54" s="14">
        <v>53</v>
      </c>
      <c r="B54" s="15" t="s">
        <v>144</v>
      </c>
      <c r="C54" s="15" t="s">
        <v>145</v>
      </c>
      <c r="D54" s="12">
        <v>3</v>
      </c>
      <c r="E54" s="12" t="s">
        <v>25</v>
      </c>
      <c r="F54" s="12" t="s">
        <v>77</v>
      </c>
      <c r="G54" s="22">
        <v>3.3</v>
      </c>
      <c r="H54" s="23">
        <v>18</v>
      </c>
      <c r="I54" s="37" t="str">
        <f t="shared" si="0"/>
        <v>3 - Business</v>
      </c>
      <c r="J54" s="38">
        <f t="shared" si="1"/>
        <v>4</v>
      </c>
    </row>
    <row r="55" spans="1:10" x14ac:dyDescent="0.15">
      <c r="A55" s="14">
        <v>54</v>
      </c>
      <c r="B55" s="15" t="s">
        <v>146</v>
      </c>
      <c r="C55" s="15" t="s">
        <v>147</v>
      </c>
      <c r="D55" s="12">
        <v>2</v>
      </c>
      <c r="E55" s="12" t="s">
        <v>28</v>
      </c>
      <c r="F55" s="12" t="s">
        <v>124</v>
      </c>
      <c r="G55" s="22">
        <v>1</v>
      </c>
      <c r="H55" s="23">
        <v>14</v>
      </c>
      <c r="I55" s="37" t="str">
        <f t="shared" si="0"/>
        <v>2 - Philosophy</v>
      </c>
      <c r="J55" s="38">
        <f t="shared" si="1"/>
        <v>2</v>
      </c>
    </row>
    <row r="56" spans="1:10" x14ac:dyDescent="0.15">
      <c r="A56" s="14">
        <v>55</v>
      </c>
      <c r="B56" s="15" t="s">
        <v>148</v>
      </c>
      <c r="C56" s="15" t="s">
        <v>149</v>
      </c>
      <c r="D56" s="12">
        <v>2</v>
      </c>
      <c r="E56" s="12" t="s">
        <v>14</v>
      </c>
      <c r="F56" s="12" t="s">
        <v>63</v>
      </c>
      <c r="G56" s="22">
        <v>2.2200000000000002</v>
      </c>
      <c r="H56" s="23">
        <v>13</v>
      </c>
      <c r="I56" s="37" t="str">
        <f t="shared" si="0"/>
        <v>2 - Speech</v>
      </c>
      <c r="J56" s="38">
        <f t="shared" si="1"/>
        <v>2</v>
      </c>
    </row>
    <row r="57" spans="1:10" x14ac:dyDescent="0.15">
      <c r="A57" s="14">
        <v>56</v>
      </c>
      <c r="B57" s="15" t="s">
        <v>34</v>
      </c>
      <c r="C57" s="15" t="s">
        <v>150</v>
      </c>
      <c r="D57" s="12">
        <v>4</v>
      </c>
      <c r="E57" s="12" t="s">
        <v>36</v>
      </c>
      <c r="F57" s="12" t="s">
        <v>15</v>
      </c>
      <c r="G57" s="22">
        <v>3.51</v>
      </c>
      <c r="H57" s="23">
        <v>14</v>
      </c>
      <c r="I57" s="37" t="str">
        <f t="shared" si="0"/>
        <v>4 - Psychology</v>
      </c>
      <c r="J57" s="38">
        <f t="shared" si="1"/>
        <v>3</v>
      </c>
    </row>
    <row r="58" spans="1:10" x14ac:dyDescent="0.15">
      <c r="A58" s="14">
        <v>57</v>
      </c>
      <c r="B58" s="15" t="s">
        <v>60</v>
      </c>
      <c r="C58" s="15" t="s">
        <v>151</v>
      </c>
      <c r="D58" s="12">
        <v>2</v>
      </c>
      <c r="E58" s="12" t="s">
        <v>62</v>
      </c>
      <c r="F58" s="12" t="s">
        <v>152</v>
      </c>
      <c r="G58" s="22">
        <v>3.5</v>
      </c>
      <c r="H58" s="23">
        <v>16</v>
      </c>
      <c r="I58" s="37" t="str">
        <f t="shared" si="0"/>
        <v>2 - Education</v>
      </c>
      <c r="J58" s="38">
        <f t="shared" si="1"/>
        <v>1</v>
      </c>
    </row>
    <row r="59" spans="1:10" x14ac:dyDescent="0.15">
      <c r="A59" s="14">
        <v>58</v>
      </c>
      <c r="B59" s="15" t="s">
        <v>153</v>
      </c>
      <c r="C59" s="15" t="s">
        <v>154</v>
      </c>
      <c r="D59" s="12">
        <v>2</v>
      </c>
      <c r="E59" s="12" t="s">
        <v>66</v>
      </c>
      <c r="F59" s="12" t="s">
        <v>45</v>
      </c>
      <c r="G59" s="22">
        <v>3</v>
      </c>
      <c r="H59" s="23">
        <v>18</v>
      </c>
      <c r="I59" s="37" t="str">
        <f t="shared" si="0"/>
        <v>2 - Drama</v>
      </c>
      <c r="J59" s="38">
        <f t="shared" si="1"/>
        <v>2</v>
      </c>
    </row>
    <row r="60" spans="1:10" x14ac:dyDescent="0.15">
      <c r="A60" s="14">
        <v>59</v>
      </c>
      <c r="B60" s="15" t="s">
        <v>155</v>
      </c>
      <c r="C60" s="15" t="s">
        <v>156</v>
      </c>
      <c r="D60" s="12">
        <v>4</v>
      </c>
      <c r="E60" s="12" t="s">
        <v>28</v>
      </c>
      <c r="F60" s="12" t="s">
        <v>39</v>
      </c>
      <c r="G60" s="22">
        <v>4</v>
      </c>
      <c r="H60" s="23">
        <v>14</v>
      </c>
      <c r="I60" s="37" t="str">
        <f t="shared" si="0"/>
        <v>4 - Computing</v>
      </c>
      <c r="J60" s="38">
        <f t="shared" si="1"/>
        <v>2</v>
      </c>
    </row>
    <row r="61" spans="1:10" x14ac:dyDescent="0.15">
      <c r="A61" s="14">
        <v>60</v>
      </c>
      <c r="B61" s="15" t="s">
        <v>142</v>
      </c>
      <c r="C61" s="15" t="s">
        <v>157</v>
      </c>
      <c r="D61" s="12">
        <v>4</v>
      </c>
      <c r="E61" s="12" t="s">
        <v>14</v>
      </c>
      <c r="F61" s="12" t="s">
        <v>19</v>
      </c>
      <c r="G61" s="22">
        <v>3</v>
      </c>
      <c r="H61" s="23">
        <v>16</v>
      </c>
      <c r="I61" s="37" t="str">
        <f t="shared" si="0"/>
        <v>4 - Undecided</v>
      </c>
      <c r="J61" s="38">
        <f t="shared" si="1"/>
        <v>3</v>
      </c>
    </row>
    <row r="62" spans="1:10" x14ac:dyDescent="0.15">
      <c r="A62" s="14">
        <v>61</v>
      </c>
      <c r="B62" s="16" t="s">
        <v>158</v>
      </c>
      <c r="C62" s="16" t="s">
        <v>159</v>
      </c>
      <c r="D62" s="12">
        <v>2</v>
      </c>
      <c r="E62" s="17" t="s">
        <v>160</v>
      </c>
      <c r="F62" s="17" t="s">
        <v>80</v>
      </c>
      <c r="G62" s="22">
        <v>3.5</v>
      </c>
      <c r="H62" s="23">
        <v>12</v>
      </c>
      <c r="I62" s="37" t="str">
        <f t="shared" si="0"/>
        <v>2 - Phys Ed</v>
      </c>
      <c r="J62" s="38">
        <f t="shared" si="1"/>
        <v>3</v>
      </c>
    </row>
    <row r="63" spans="1:10" x14ac:dyDescent="0.15">
      <c r="A63" s="14">
        <v>62</v>
      </c>
      <c r="B63" s="15" t="s">
        <v>161</v>
      </c>
      <c r="C63" s="15" t="s">
        <v>162</v>
      </c>
      <c r="D63" s="12">
        <v>2</v>
      </c>
      <c r="E63" s="12" t="s">
        <v>14</v>
      </c>
      <c r="F63" s="12" t="s">
        <v>39</v>
      </c>
      <c r="G63" s="22">
        <v>3</v>
      </c>
      <c r="H63" s="23">
        <v>12</v>
      </c>
      <c r="I63" s="37" t="str">
        <f t="shared" si="0"/>
        <v>2 - Computing</v>
      </c>
      <c r="J63" s="38">
        <f t="shared" si="1"/>
        <v>2</v>
      </c>
    </row>
    <row r="64" spans="1:10" x14ac:dyDescent="0.15">
      <c r="A64" s="14">
        <v>63</v>
      </c>
      <c r="B64" s="16" t="s">
        <v>163</v>
      </c>
      <c r="C64" s="16" t="s">
        <v>164</v>
      </c>
      <c r="D64" s="12">
        <v>3</v>
      </c>
      <c r="E64" s="17" t="s">
        <v>160</v>
      </c>
      <c r="F64" s="17" t="s">
        <v>45</v>
      </c>
      <c r="G64" s="22">
        <v>3</v>
      </c>
      <c r="H64" s="23">
        <v>17</v>
      </c>
      <c r="I64" s="37" t="str">
        <f t="shared" si="0"/>
        <v>3 - Drama</v>
      </c>
      <c r="J64" s="38">
        <f t="shared" si="1"/>
        <v>2</v>
      </c>
    </row>
    <row r="65" spans="1:10" x14ac:dyDescent="0.15">
      <c r="A65" s="14">
        <v>64</v>
      </c>
      <c r="B65" s="15" t="s">
        <v>165</v>
      </c>
      <c r="C65" s="15" t="s">
        <v>166</v>
      </c>
      <c r="D65" s="12">
        <v>2</v>
      </c>
      <c r="E65" s="12" t="s">
        <v>25</v>
      </c>
      <c r="F65" s="12" t="s">
        <v>39</v>
      </c>
      <c r="G65" s="22">
        <v>3.3</v>
      </c>
      <c r="H65" s="23">
        <v>13</v>
      </c>
      <c r="I65" s="37" t="str">
        <f t="shared" si="0"/>
        <v>2 - Computing</v>
      </c>
      <c r="J65" s="38">
        <f t="shared" si="1"/>
        <v>2</v>
      </c>
    </row>
    <row r="66" spans="1:10" x14ac:dyDescent="0.15">
      <c r="A66" s="14">
        <v>65</v>
      </c>
      <c r="B66" s="16" t="s">
        <v>167</v>
      </c>
      <c r="C66" s="16" t="s">
        <v>168</v>
      </c>
      <c r="D66" s="12">
        <v>3</v>
      </c>
      <c r="E66" s="17" t="s">
        <v>135</v>
      </c>
      <c r="F66" s="17" t="s">
        <v>80</v>
      </c>
      <c r="G66" s="22">
        <v>4</v>
      </c>
      <c r="H66" s="23">
        <v>14</v>
      </c>
      <c r="I66" s="37" t="str">
        <f t="shared" si="0"/>
        <v>3 - Phys Ed</v>
      </c>
      <c r="J66" s="38">
        <f t="shared" si="1"/>
        <v>3</v>
      </c>
    </row>
    <row r="67" spans="1:10" x14ac:dyDescent="0.15">
      <c r="A67" s="14">
        <v>66</v>
      </c>
      <c r="B67" s="15" t="s">
        <v>169</v>
      </c>
      <c r="C67" s="15" t="s">
        <v>170</v>
      </c>
      <c r="D67" s="12">
        <v>2</v>
      </c>
      <c r="E67" s="12" t="s">
        <v>28</v>
      </c>
      <c r="F67" s="12" t="s">
        <v>77</v>
      </c>
      <c r="G67" s="22">
        <v>1.5</v>
      </c>
      <c r="H67" s="23">
        <v>17</v>
      </c>
      <c r="I67" s="37" t="str">
        <f t="shared" ref="I67:I81" si="2">D67 &amp; " - " &amp; F67</f>
        <v>2 - Business</v>
      </c>
      <c r="J67" s="38">
        <f t="shared" ref="J67:J81" si="3">COUNTIF(I$2:I$81, I67)</f>
        <v>1</v>
      </c>
    </row>
    <row r="68" spans="1:10" x14ac:dyDescent="0.15">
      <c r="A68" s="14">
        <v>67</v>
      </c>
      <c r="B68" s="15" t="s">
        <v>163</v>
      </c>
      <c r="C68" s="15" t="s">
        <v>171</v>
      </c>
      <c r="D68" s="12">
        <v>3</v>
      </c>
      <c r="E68" s="12" t="s">
        <v>160</v>
      </c>
      <c r="F68" s="12" t="s">
        <v>49</v>
      </c>
      <c r="G68" s="22">
        <v>2.8</v>
      </c>
      <c r="H68" s="23">
        <v>18</v>
      </c>
      <c r="I68" s="37" t="str">
        <f t="shared" si="2"/>
        <v>3 - Religion</v>
      </c>
      <c r="J68" s="38">
        <f t="shared" si="3"/>
        <v>1</v>
      </c>
    </row>
    <row r="69" spans="1:10" x14ac:dyDescent="0.15">
      <c r="A69" s="14">
        <v>68</v>
      </c>
      <c r="B69" s="15" t="s">
        <v>172</v>
      </c>
      <c r="C69" s="15" t="s">
        <v>173</v>
      </c>
      <c r="D69" s="12">
        <v>2</v>
      </c>
      <c r="E69" s="12" t="s">
        <v>18</v>
      </c>
      <c r="F69" s="12" t="s">
        <v>49</v>
      </c>
      <c r="G69" s="22">
        <v>4</v>
      </c>
      <c r="H69" s="23">
        <v>12</v>
      </c>
      <c r="I69" s="37" t="str">
        <f t="shared" si="2"/>
        <v>2 - Religion</v>
      </c>
      <c r="J69" s="38">
        <f t="shared" si="3"/>
        <v>1</v>
      </c>
    </row>
    <row r="70" spans="1:10" x14ac:dyDescent="0.15">
      <c r="A70" s="14">
        <v>69</v>
      </c>
      <c r="B70" s="15" t="s">
        <v>174</v>
      </c>
      <c r="C70" s="15" t="s">
        <v>175</v>
      </c>
      <c r="D70" s="12">
        <v>3</v>
      </c>
      <c r="E70" s="12" t="s">
        <v>66</v>
      </c>
      <c r="F70" s="12" t="s">
        <v>77</v>
      </c>
      <c r="G70" s="22">
        <v>3.5</v>
      </c>
      <c r="H70" s="23">
        <v>14</v>
      </c>
      <c r="I70" s="37" t="str">
        <f t="shared" si="2"/>
        <v>3 - Business</v>
      </c>
      <c r="J70" s="38">
        <f t="shared" si="3"/>
        <v>4</v>
      </c>
    </row>
    <row r="71" spans="1:10" x14ac:dyDescent="0.15">
      <c r="A71" s="14">
        <v>70</v>
      </c>
      <c r="B71" s="15" t="s">
        <v>176</v>
      </c>
      <c r="C71" s="15" t="s">
        <v>177</v>
      </c>
      <c r="D71" s="12">
        <v>2</v>
      </c>
      <c r="E71" s="12" t="s">
        <v>18</v>
      </c>
      <c r="F71" s="12" t="s">
        <v>80</v>
      </c>
      <c r="G71" s="22">
        <v>4</v>
      </c>
      <c r="H71" s="23">
        <v>14</v>
      </c>
      <c r="I71" s="37" t="str">
        <f t="shared" si="2"/>
        <v>2 - Phys Ed</v>
      </c>
      <c r="J71" s="38">
        <f t="shared" si="3"/>
        <v>3</v>
      </c>
    </row>
    <row r="72" spans="1:10" x14ac:dyDescent="0.15">
      <c r="A72" s="14">
        <v>71</v>
      </c>
      <c r="B72" s="15" t="s">
        <v>178</v>
      </c>
      <c r="C72" s="15" t="s">
        <v>179</v>
      </c>
      <c r="D72" s="12">
        <v>4</v>
      </c>
      <c r="E72" s="12" t="s">
        <v>14</v>
      </c>
      <c r="F72" s="12" t="s">
        <v>19</v>
      </c>
      <c r="G72" s="22">
        <v>4</v>
      </c>
      <c r="H72" s="23">
        <v>16</v>
      </c>
      <c r="I72" s="37" t="str">
        <f t="shared" si="2"/>
        <v>4 - Undecided</v>
      </c>
      <c r="J72" s="38">
        <f t="shared" si="3"/>
        <v>3</v>
      </c>
    </row>
    <row r="73" spans="1:10" x14ac:dyDescent="0.15">
      <c r="A73" s="14">
        <v>72</v>
      </c>
      <c r="B73" s="15" t="s">
        <v>180</v>
      </c>
      <c r="C73" s="15" t="s">
        <v>181</v>
      </c>
      <c r="D73" s="12">
        <v>3</v>
      </c>
      <c r="E73" s="12" t="s">
        <v>14</v>
      </c>
      <c r="F73" s="12" t="s">
        <v>11</v>
      </c>
      <c r="G73" s="22">
        <v>3.8</v>
      </c>
      <c r="H73" s="23">
        <v>12</v>
      </c>
      <c r="I73" s="37" t="str">
        <f t="shared" si="2"/>
        <v>3 - Pre-Med</v>
      </c>
      <c r="J73" s="38">
        <f t="shared" si="3"/>
        <v>1</v>
      </c>
    </row>
    <row r="74" spans="1:10" x14ac:dyDescent="0.15">
      <c r="A74" s="14">
        <v>73</v>
      </c>
      <c r="B74" s="15" t="s">
        <v>148</v>
      </c>
      <c r="C74" s="15" t="s">
        <v>182</v>
      </c>
      <c r="D74" s="12">
        <v>2</v>
      </c>
      <c r="E74" s="12" t="s">
        <v>14</v>
      </c>
      <c r="F74" s="12" t="s">
        <v>63</v>
      </c>
      <c r="G74" s="22">
        <v>2.2200000000000002</v>
      </c>
      <c r="H74" s="23">
        <v>13</v>
      </c>
      <c r="I74" s="37" t="str">
        <f t="shared" si="2"/>
        <v>2 - Speech</v>
      </c>
      <c r="J74" s="38">
        <f t="shared" si="3"/>
        <v>2</v>
      </c>
    </row>
    <row r="75" spans="1:10" x14ac:dyDescent="0.15">
      <c r="A75" s="14">
        <v>74</v>
      </c>
      <c r="B75" s="15" t="s">
        <v>183</v>
      </c>
      <c r="C75" s="15" t="s">
        <v>184</v>
      </c>
      <c r="D75" s="12">
        <v>1</v>
      </c>
      <c r="E75" s="12" t="s">
        <v>36</v>
      </c>
      <c r="F75" s="12" t="s">
        <v>39</v>
      </c>
      <c r="G75" s="22">
        <v>3</v>
      </c>
      <c r="H75" s="23">
        <v>12</v>
      </c>
      <c r="I75" s="37" t="str">
        <f t="shared" si="2"/>
        <v>1 - Computing</v>
      </c>
      <c r="J75" s="38">
        <f t="shared" si="3"/>
        <v>3</v>
      </c>
    </row>
    <row r="76" spans="1:10" x14ac:dyDescent="0.15">
      <c r="A76" s="14">
        <v>75</v>
      </c>
      <c r="B76" s="15" t="s">
        <v>185</v>
      </c>
      <c r="C76" s="15" t="s">
        <v>186</v>
      </c>
      <c r="D76" s="12">
        <v>4</v>
      </c>
      <c r="E76" s="12" t="s">
        <v>14</v>
      </c>
      <c r="F76" s="12" t="s">
        <v>77</v>
      </c>
      <c r="G76" s="22">
        <v>4</v>
      </c>
      <c r="H76" s="23">
        <v>17</v>
      </c>
      <c r="I76" s="37" t="str">
        <f t="shared" si="2"/>
        <v>4 - Business</v>
      </c>
      <c r="J76" s="38">
        <f t="shared" si="3"/>
        <v>2</v>
      </c>
    </row>
    <row r="77" spans="1:10" x14ac:dyDescent="0.15">
      <c r="A77" s="14">
        <v>76</v>
      </c>
      <c r="B77" s="16" t="s">
        <v>113</v>
      </c>
      <c r="C77" s="16" t="s">
        <v>187</v>
      </c>
      <c r="D77" s="12">
        <v>1</v>
      </c>
      <c r="E77" s="17" t="s">
        <v>121</v>
      </c>
      <c r="F77" s="17" t="s">
        <v>80</v>
      </c>
      <c r="G77" s="22">
        <v>4</v>
      </c>
      <c r="H77" s="23">
        <v>18</v>
      </c>
      <c r="I77" s="37" t="str">
        <f t="shared" si="2"/>
        <v>1 - Phys Ed</v>
      </c>
      <c r="J77" s="38">
        <f t="shared" si="3"/>
        <v>4</v>
      </c>
    </row>
    <row r="78" spans="1:10" x14ac:dyDescent="0.15">
      <c r="A78" s="14">
        <v>77</v>
      </c>
      <c r="B78" s="16" t="s">
        <v>188</v>
      </c>
      <c r="C78" s="16" t="s">
        <v>189</v>
      </c>
      <c r="D78" s="12">
        <v>1</v>
      </c>
      <c r="E78" s="17" t="s">
        <v>74</v>
      </c>
      <c r="F78" s="17" t="s">
        <v>67</v>
      </c>
      <c r="G78" s="22">
        <v>4</v>
      </c>
      <c r="H78" s="23">
        <v>14</v>
      </c>
      <c r="I78" s="37" t="str">
        <f t="shared" si="2"/>
        <v>1 - Music</v>
      </c>
      <c r="J78" s="38">
        <f t="shared" si="3"/>
        <v>6</v>
      </c>
    </row>
    <row r="79" spans="1:10" x14ac:dyDescent="0.15">
      <c r="A79" s="14">
        <v>78</v>
      </c>
      <c r="B79" s="15" t="s">
        <v>190</v>
      </c>
      <c r="C79" s="15" t="s">
        <v>191</v>
      </c>
      <c r="D79" s="12">
        <v>2</v>
      </c>
      <c r="E79" s="12" t="s">
        <v>192</v>
      </c>
      <c r="F79" s="12" t="s">
        <v>11</v>
      </c>
      <c r="G79" s="22">
        <v>3.99</v>
      </c>
      <c r="H79" s="23">
        <v>14</v>
      </c>
      <c r="I79" s="37" t="str">
        <f t="shared" si="2"/>
        <v>2 - Pre-Med</v>
      </c>
      <c r="J79" s="38">
        <f t="shared" si="3"/>
        <v>1</v>
      </c>
    </row>
    <row r="80" spans="1:10" x14ac:dyDescent="0.15">
      <c r="A80" s="14">
        <v>79</v>
      </c>
      <c r="B80" s="15" t="s">
        <v>193</v>
      </c>
      <c r="C80" s="15" t="s">
        <v>194</v>
      </c>
      <c r="D80" s="12">
        <v>3</v>
      </c>
      <c r="E80" s="12" t="s">
        <v>195</v>
      </c>
      <c r="F80" s="12" t="s">
        <v>45</v>
      </c>
      <c r="G80" s="22">
        <v>3.8</v>
      </c>
      <c r="H80" s="23">
        <v>17</v>
      </c>
      <c r="I80" s="37" t="str">
        <f t="shared" si="2"/>
        <v>3 - Drama</v>
      </c>
      <c r="J80" s="38">
        <f t="shared" si="3"/>
        <v>2</v>
      </c>
    </row>
    <row r="81" spans="1:11" x14ac:dyDescent="0.15">
      <c r="A81" s="14">
        <v>80</v>
      </c>
      <c r="B81" s="16" t="s">
        <v>204</v>
      </c>
      <c r="C81" s="16" t="s">
        <v>205</v>
      </c>
      <c r="D81" s="12">
        <v>4</v>
      </c>
      <c r="E81" s="17" t="s">
        <v>14</v>
      </c>
      <c r="F81" s="17" t="s">
        <v>206</v>
      </c>
      <c r="G81" s="22">
        <v>3.34</v>
      </c>
      <c r="H81" s="23">
        <v>12</v>
      </c>
      <c r="I81" s="37" t="str">
        <f t="shared" si="2"/>
        <v>4 - Economics</v>
      </c>
      <c r="J81" s="38">
        <f t="shared" si="3"/>
        <v>1</v>
      </c>
    </row>
    <row r="82" spans="1:11" x14ac:dyDescent="0.15">
      <c r="A82" s="5"/>
      <c r="C82" s="32" t="s">
        <v>210</v>
      </c>
      <c r="D82" s="33" t="b" cm="1">
        <f t="array" ref="D82">SUMPRODUCT(--(D2:D81&gt;4))&gt;0</f>
        <v>0</v>
      </c>
    </row>
    <row r="83" spans="1:11" x14ac:dyDescent="0.15">
      <c r="A83"/>
      <c r="D83"/>
      <c r="E83"/>
      <c r="F83" s="7"/>
      <c r="G83" s="6"/>
    </row>
    <row r="84" spans="1:11" x14ac:dyDescent="0.15">
      <c r="A84"/>
      <c r="D84" s="4"/>
      <c r="E84"/>
      <c r="F84" s="8"/>
      <c r="G84" s="6"/>
    </row>
    <row r="85" spans="1:11" x14ac:dyDescent="0.15">
      <c r="A85"/>
      <c r="D85" s="4"/>
      <c r="E85"/>
      <c r="F85" s="8"/>
      <c r="G85"/>
    </row>
    <row r="86" spans="1:11" x14ac:dyDescent="0.15">
      <c r="A86" s="9" t="s">
        <v>196</v>
      </c>
      <c r="B86" s="18">
        <f>COUNTIF(D2:$D$81, 2)</f>
        <v>20</v>
      </c>
      <c r="D86" s="4"/>
      <c r="E86"/>
      <c r="F86" s="8"/>
      <c r="G86"/>
    </row>
    <row r="87" spans="1:11" x14ac:dyDescent="0.15">
      <c r="A87"/>
      <c r="B87" s="8"/>
      <c r="D87" s="4"/>
      <c r="E87"/>
      <c r="F87" s="8"/>
      <c r="G87"/>
    </row>
    <row r="88" spans="1:11" x14ac:dyDescent="0.15">
      <c r="A88"/>
      <c r="D88" s="4"/>
      <c r="E88"/>
      <c r="F88"/>
      <c r="G88"/>
    </row>
    <row r="89" spans="1:11" x14ac:dyDescent="0.15">
      <c r="A89" s="13" t="s">
        <v>197</v>
      </c>
      <c r="B89" s="19">
        <f>COUNTIF($D$2:$D$81, "&gt;=3")</f>
        <v>42</v>
      </c>
      <c r="G89" s="42" t="s">
        <v>3</v>
      </c>
      <c r="H89" s="43" t="s">
        <v>216</v>
      </c>
      <c r="I89" s="43" t="s">
        <v>217</v>
      </c>
      <c r="J89" s="43" t="s">
        <v>220</v>
      </c>
      <c r="K89" s="44" t="s">
        <v>218</v>
      </c>
    </row>
    <row r="90" spans="1:11" x14ac:dyDescent="0.15">
      <c r="A90" s="25" t="s">
        <v>198</v>
      </c>
      <c r="B90" s="26">
        <f>AVERAGE(D2:D81)</f>
        <v>2.5874999999999999</v>
      </c>
      <c r="F90">
        <v>1</v>
      </c>
      <c r="G90" s="35" t="s">
        <v>207</v>
      </c>
      <c r="H90" s="6">
        <f>AVERAGEIF($D$2:$D$81, F90,$G$2:$G$81)</f>
        <v>3.177777777777778</v>
      </c>
      <c r="I90" s="6">
        <f>AVERAGEIFS($H$2:$H$81, $D$2:$D$81, F90)</f>
        <v>15.222222222222221</v>
      </c>
      <c r="J90" s="6">
        <f>SUMIFS($H$2:$H$81,$D$2:$D$81, F90)</f>
        <v>274</v>
      </c>
      <c r="K90" s="45" t="str">
        <f>_xlfn.TEXTAFTER(
  INDEX(I2:I81, MATCH(_xlfn.MAXIFS(J2:J81, I2:I81, "1 - *"), J2:J81, 0)),
  " - "
)</f>
        <v>Music</v>
      </c>
    </row>
    <row r="91" spans="1:11" x14ac:dyDescent="0.15">
      <c r="A91" s="25" t="s">
        <v>199</v>
      </c>
      <c r="B91" s="26">
        <f>AVERAGEIFS(G2:G81, D2:D81, "&gt;=3")</f>
        <v>3.2959523809523805</v>
      </c>
      <c r="C91" s="34" t="s">
        <v>214</v>
      </c>
      <c r="F91">
        <f>F90+1</f>
        <v>2</v>
      </c>
      <c r="G91" s="35" t="s">
        <v>208</v>
      </c>
      <c r="H91" s="6">
        <f>AVERAGEIF($D$2:$D$81, F91,$G$2:$G$81)</f>
        <v>2.7519999999999998</v>
      </c>
      <c r="I91" s="6">
        <f t="shared" ref="I91:I93" si="4">AVERAGEIFS($H$2:$H$81, $D$2:$D$81, F91)</f>
        <v>14.75</v>
      </c>
      <c r="J91" s="6">
        <f t="shared" ref="J91:J93" si="5">SUMIFS($H$2:$H$81,$D$2:$D$81, F91)</f>
        <v>295</v>
      </c>
      <c r="K91" s="45" t="str">
        <f>_xlfn.TEXTAFTER(
  INDEX(I2:I81, MATCH(_xlfn.MAXIFS(J2:J81, I2:I81, "2 - *"), J2:J81, 0)),
  " - "
)</f>
        <v>Pre-Med</v>
      </c>
    </row>
    <row r="92" spans="1:11" x14ac:dyDescent="0.15">
      <c r="A92" s="25" t="s">
        <v>200</v>
      </c>
      <c r="B92" s="29">
        <f>SUMIFS($H$2:$H$81, $D$2:$D$81, "&gt;=3")</f>
        <v>646</v>
      </c>
      <c r="C92" s="34" t="s">
        <v>215</v>
      </c>
      <c r="F92">
        <f t="shared" ref="F92:F93" si="6">F91+1</f>
        <v>3</v>
      </c>
      <c r="G92" s="35" t="s">
        <v>209</v>
      </c>
      <c r="H92" s="6">
        <f>AVERAGEIF($D$2:$D$81, F92,$G$2:$G$81)</f>
        <v>3.0936842105263151</v>
      </c>
      <c r="I92" s="6">
        <f t="shared" si="4"/>
        <v>15.842105263157896</v>
      </c>
      <c r="J92" s="6">
        <f t="shared" si="5"/>
        <v>301</v>
      </c>
      <c r="K92" s="45" t="str">
        <f>_xlfn.TEXTAFTER(
  INDEX(I2:I81, MATCH(_xlfn.MAXIFS(J2:J81, I2:I81, "3 - *"), J2:J81, 0)),
  " - "
)</f>
        <v>Business</v>
      </c>
    </row>
    <row r="93" spans="1:11" x14ac:dyDescent="0.15">
      <c r="F93">
        <f t="shared" si="6"/>
        <v>4</v>
      </c>
      <c r="G93" s="35" t="s">
        <v>211</v>
      </c>
      <c r="H93" s="6">
        <f>AVERAGEIF($D$2:$D$81, F93,$G$2:$G$81)</f>
        <v>3.4630434782608699</v>
      </c>
      <c r="I93" s="6">
        <f t="shared" si="4"/>
        <v>15</v>
      </c>
      <c r="J93" s="6">
        <f t="shared" si="5"/>
        <v>345</v>
      </c>
      <c r="K93" s="46" t="str">
        <f>_xlfn.TEXTAFTER(
  INDEX(I2:I81, MATCH(_xlfn.MAXIFS(J2:J81, I2:I81, "4 - *"), J2:J81, 0)),
  " - "
)</f>
        <v>Pre-Med</v>
      </c>
    </row>
    <row r="94" spans="1:11" x14ac:dyDescent="0.15">
      <c r="A94" s="10" t="s">
        <v>201</v>
      </c>
      <c r="B94" s="11"/>
      <c r="D94"/>
      <c r="E94"/>
      <c r="F94"/>
      <c r="G94" s="39" t="s">
        <v>219</v>
      </c>
      <c r="H94" s="40">
        <f>AVERAGE($G$2:$G$81)</f>
        <v>3.133375</v>
      </c>
      <c r="I94" s="40">
        <f>AVERAGE($H$2:$H$81)</f>
        <v>15.1875</v>
      </c>
      <c r="J94" s="41">
        <f>SUM($H$2:$H$81)</f>
        <v>1215</v>
      </c>
      <c r="K94" s="47" t="str" cm="1">
        <f t="array" ref="K94">_xlfn.LET(
  _xlpm.majors, F2:F81,
  _xlpm.freq, _xlfn.BYROW(_xlpm.majors, _xlfn.LAMBDA(_xlpm.row, COUNTIF(_xlpm.majors, _xlpm.row))),
  INDEX(_xlpm.majors, MATCH(MAX(_xlpm.freq), _xlpm.freq, 0))
)</f>
        <v>Phys Ed</v>
      </c>
    </row>
    <row r="95" spans="1:11" x14ac:dyDescent="0.15">
      <c r="A95" s="27" t="s">
        <v>202</v>
      </c>
      <c r="B95" s="24">
        <f>COUNTIFS($D$2:$D$81, "=2", $E$2:$E$81, "California")</f>
        <v>5</v>
      </c>
      <c r="D95"/>
      <c r="E95"/>
      <c r="F95" s="8"/>
      <c r="G95"/>
    </row>
    <row r="96" spans="1:11" x14ac:dyDescent="0.15">
      <c r="A96" s="27" t="s">
        <v>199</v>
      </c>
      <c r="B96" s="28">
        <f>AVERAGEIFS($G$2:$G$81,$D$2:$D$81, "=2", $E$2:$E$81, "California")</f>
        <v>2.4680000000000004</v>
      </c>
      <c r="C96" s="34" t="s">
        <v>213</v>
      </c>
    </row>
    <row r="97" spans="1:3" x14ac:dyDescent="0.15">
      <c r="A97" s="27" t="s">
        <v>200</v>
      </c>
      <c r="B97" s="30">
        <f>SUMIFS($H$2:$H$81,$D$2:$D$81, "=2", $E$2:$E$81, "California")</f>
        <v>71</v>
      </c>
      <c r="C97" s="34" t="s">
        <v>212</v>
      </c>
    </row>
  </sheetData>
  <sortState xmlns:xlrd2="http://schemas.microsoft.com/office/spreadsheetml/2017/richdata2" ref="A2:G80">
    <sortCondition ref="A66:A80"/>
  </sortState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Nested '=If' Review</vt:lpstr>
      <vt:lpstr>Seperator</vt:lpstr>
      <vt:lpstr>College</vt:lpstr>
      <vt:lpstr>College!Criteria</vt:lpstr>
    </vt:vector>
  </TitlesOfParts>
  <Manager/>
  <Company>Calvin College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Nyhoff</dc:creator>
  <cp:keywords/>
  <dc:description/>
  <cp:lastModifiedBy>Alejandro De La Torre</cp:lastModifiedBy>
  <cp:revision/>
  <dcterms:created xsi:type="dcterms:W3CDTF">1997-12-02T02:34:56Z</dcterms:created>
  <dcterms:modified xsi:type="dcterms:W3CDTF">2025-11-06T03:50:27Z</dcterms:modified>
  <cp:category/>
  <cp:contentStatus/>
</cp:coreProperties>
</file>