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uwprod-my.sharepoint.com/personal/adelatorre2_wisc_edu/Documents/Coursework/L I S 440/Lectures/Week 6/"/>
    </mc:Choice>
  </mc:AlternateContent>
  <xr:revisionPtr revIDLastSave="0" documentId="8_{97FDC3F3-84A8-4240-B658-2A0E2AE291D6}" xr6:coauthVersionLast="47" xr6:coauthVersionMax="47" xr10:uidLastSave="{00000000-0000-0000-0000-000000000000}"/>
  <bookViews>
    <workbookView xWindow="-120" yWindow="-120" windowWidth="22920" windowHeight="13890" tabRatio="839" xr2:uid="{00000000-000D-0000-FFFF-FFFF00000000}"/>
  </bookViews>
  <sheets>
    <sheet name="Weekly Totals" sheetId="6" r:id="rId1"/>
    <sheet name="Sunday" sheetId="7" r:id="rId2"/>
    <sheet name="Monday" sheetId="15" r:id="rId3"/>
    <sheet name="Tuesday" sheetId="9" r:id="rId4"/>
    <sheet name="Wednesday" sheetId="10" r:id="rId5"/>
    <sheet name="Thursday" sheetId="11" r:id="rId6"/>
    <sheet name="Friday" sheetId="12" r:id="rId7"/>
    <sheet name="Saturday" sheetId="13" r:id="rId8"/>
    <sheet name="Random" sheetId="14"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6" l="1"/>
  <c r="C3" i="6"/>
  <c r="D3" i="6"/>
  <c r="E3" i="6"/>
  <c r="B4" i="6"/>
  <c r="C4" i="6"/>
  <c r="D4" i="6"/>
  <c r="E4" i="6"/>
  <c r="B5" i="6"/>
  <c r="C5" i="6"/>
  <c r="D5" i="6"/>
  <c r="E5" i="6"/>
  <c r="B6" i="6"/>
  <c r="C6" i="6"/>
  <c r="D6" i="6"/>
  <c r="E6" i="6"/>
  <c r="B7" i="6"/>
  <c r="C7" i="6"/>
  <c r="D7" i="6"/>
  <c r="E7" i="6"/>
  <c r="B8" i="6"/>
  <c r="C8" i="6"/>
  <c r="D8" i="6"/>
  <c r="E8" i="6"/>
  <c r="B9" i="6"/>
  <c r="C9" i="6"/>
  <c r="D9" i="6"/>
  <c r="E9" i="6"/>
  <c r="C2" i="6"/>
  <c r="D2" i="6"/>
  <c r="E2" i="6"/>
  <c r="B2" i="6"/>
  <c r="B19" i="6"/>
  <c r="C19" i="6"/>
  <c r="D19" i="6"/>
  <c r="E19" i="6"/>
  <c r="B20" i="6"/>
  <c r="C20" i="6"/>
  <c r="D20" i="6"/>
  <c r="E20" i="6"/>
  <c r="B21" i="6"/>
  <c r="C21" i="6"/>
  <c r="D21" i="6"/>
  <c r="E21" i="6"/>
  <c r="B22" i="6"/>
  <c r="C22" i="6"/>
  <c r="D22" i="6"/>
  <c r="E22" i="6"/>
  <c r="B23" i="6"/>
  <c r="C23" i="6"/>
  <c r="D23" i="6"/>
  <c r="E23" i="6"/>
  <c r="B24" i="6"/>
  <c r="C24" i="6"/>
  <c r="D24" i="6"/>
  <c r="E24" i="6"/>
  <c r="B25" i="6"/>
  <c r="C25" i="6"/>
  <c r="D25" i="6"/>
  <c r="E25" i="6"/>
  <c r="C18" i="6"/>
  <c r="D18" i="6"/>
  <c r="E18" i="6"/>
  <c r="B18" i="6"/>
  <c r="E3" i="15"/>
  <c r="E4" i="15"/>
  <c r="E5" i="15"/>
  <c r="E6" i="15"/>
  <c r="E7" i="15"/>
  <c r="E8" i="15"/>
  <c r="E9" i="15"/>
  <c r="E2" i="15"/>
  <c r="C9" i="15"/>
  <c r="D9" i="15"/>
  <c r="B9" i="15"/>
  <c r="E3" i="13"/>
  <c r="E4" i="13"/>
  <c r="E5" i="13"/>
  <c r="E6" i="13"/>
  <c r="E7" i="13"/>
  <c r="E8" i="13"/>
  <c r="E9" i="13"/>
  <c r="E2" i="13"/>
  <c r="C9" i="13"/>
  <c r="D9" i="13"/>
  <c r="B9" i="13"/>
  <c r="C9" i="12"/>
  <c r="D9" i="12"/>
  <c r="B9" i="12"/>
  <c r="E9" i="12" s="1"/>
  <c r="E3" i="12"/>
  <c r="E4" i="12"/>
  <c r="E5" i="12"/>
  <c r="E6" i="12"/>
  <c r="E7" i="12"/>
  <c r="E8" i="12"/>
  <c r="E2" i="12"/>
  <c r="C9" i="11"/>
  <c r="D9" i="11"/>
  <c r="B9" i="11"/>
  <c r="E3" i="11"/>
  <c r="E4" i="11"/>
  <c r="E5" i="11"/>
  <c r="E6" i="11"/>
  <c r="E7" i="11"/>
  <c r="E8" i="11"/>
  <c r="E2" i="11"/>
  <c r="C9" i="10"/>
  <c r="D9" i="10"/>
  <c r="B9" i="10"/>
  <c r="E3" i="10"/>
  <c r="E4" i="10"/>
  <c r="E5" i="10"/>
  <c r="E6" i="10"/>
  <c r="E7" i="10"/>
  <c r="E8" i="10"/>
  <c r="E9" i="10"/>
  <c r="E2" i="10"/>
  <c r="E3" i="9"/>
  <c r="E4" i="9"/>
  <c r="E5" i="9"/>
  <c r="E6" i="9"/>
  <c r="E7" i="9"/>
  <c r="E8" i="9"/>
  <c r="E9" i="9"/>
  <c r="E2" i="9"/>
  <c r="C9" i="9"/>
  <c r="D9" i="9"/>
  <c r="B9" i="9"/>
  <c r="C9" i="7"/>
  <c r="D9" i="7"/>
  <c r="B9" i="7"/>
  <c r="E3" i="7"/>
  <c r="E4" i="7"/>
  <c r="E5" i="7"/>
  <c r="E6" i="7"/>
  <c r="E7" i="7"/>
  <c r="E8" i="7"/>
  <c r="E9" i="7"/>
  <c r="E2" i="7"/>
  <c r="D8" i="14"/>
  <c r="C8" i="14"/>
  <c r="B8" i="14"/>
  <c r="D7" i="14"/>
  <c r="C7" i="14"/>
  <c r="B7" i="14"/>
  <c r="D6" i="14"/>
  <c r="C6" i="14"/>
  <c r="B6" i="14"/>
  <c r="D5" i="14"/>
  <c r="C5" i="14"/>
  <c r="B5" i="14"/>
  <c r="D4" i="14"/>
  <c r="C4" i="14"/>
  <c r="B4" i="14"/>
  <c r="D3" i="14"/>
  <c r="C3" i="14"/>
  <c r="B3" i="14"/>
  <c r="D2" i="14"/>
  <c r="C2" i="14"/>
  <c r="B2" i="14"/>
  <c r="E8" i="14" l="1"/>
  <c r="E5" i="14"/>
  <c r="E2" i="14"/>
  <c r="D9" i="14"/>
  <c r="E3" i="14"/>
  <c r="C9" i="14"/>
  <c r="E6" i="14"/>
  <c r="E7" i="14"/>
  <c r="E4" i="14"/>
  <c r="B9" i="14"/>
  <c r="E9" i="11"/>
  <c r="E9" i="14" l="1"/>
</calcChain>
</file>

<file path=xl/sharedStrings.xml><?xml version="1.0" encoding="utf-8"?>
<sst xmlns="http://schemas.openxmlformats.org/spreadsheetml/2006/main" count="150" uniqueCount="21">
  <si>
    <t>Flavor</t>
  </si>
  <si>
    <t>Sugar Cone</t>
  </si>
  <si>
    <t>Cup</t>
  </si>
  <si>
    <t>Waffle Cone</t>
  </si>
  <si>
    <t>Total of All Containers</t>
  </si>
  <si>
    <t>Chocolate</t>
  </si>
  <si>
    <t>Strawberry</t>
  </si>
  <si>
    <t>Vanilla</t>
  </si>
  <si>
    <t>Blue Moon</t>
  </si>
  <si>
    <t>Orange</t>
  </si>
  <si>
    <t>Cherry</t>
  </si>
  <si>
    <t>Cookie Dough</t>
  </si>
  <si>
    <t>Total of All Flavors</t>
  </si>
  <si>
    <t>Your Name:</t>
  </si>
  <si>
    <t>Alejandro De La Torre</t>
  </si>
  <si>
    <t>I get the method but there is a much faster method than manually pasting or contructing the sum formula each time. Simply highlight where you would want the the same formula applied to, beginning where the you wrote the original formula that you want to replicate across the adjacent columns for the corresponding range of values and then hit ctrl + r and then it replicates it to the right. To drag down, you can highlight the range where you would like to to drag down to and then hit ctrl + d and boom. Touching your mouse is lost time/efficiency in excel.</t>
  </si>
  <si>
    <t>Only Weekday (No Random)</t>
  </si>
  <si>
    <t>&lt;---I did not include random because it was the generator and not representative of a weekday.</t>
  </si>
  <si>
    <t>&lt;---I figured it was easier, faster, and nicer (at the very least more exhaustive) if I just replicate the whole table with only the weekday values.</t>
  </si>
  <si>
    <t>Transposed Center Weekday</t>
  </si>
  <si>
    <t>&lt;--Here I copied the center values in the weekday only weekly totals table and then did alt + h + v + s then selected values and transpose and then copied the formatting over with alt + h + v +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</si>
</sst>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ED0000"/>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39997558519241921"/>
        <bgColor indexed="64"/>
      </patternFill>
    </fill>
    <fill>
      <patternFill patternType="solid">
        <fgColor rgb="FFFFFFAF"/>
        <bgColor indexed="64"/>
      </patternFill>
    </fill>
    <fill>
      <patternFill patternType="solid">
        <fgColor theme="9" tint="0.79998168889431442"/>
        <bgColor indexed="64"/>
      </patternFill>
    </fill>
    <fill>
      <patternFill patternType="solid">
        <fgColor rgb="FFFFC000"/>
        <bgColor indexed="64"/>
      </patternFill>
    </fill>
    <fill>
      <patternFill patternType="solid">
        <fgColor theme="5" tint="0.7999816888943144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16" fillId="0" borderId="10" xfId="0" applyFont="1" applyBorder="1"/>
    <xf numFmtId="0" fontId="16" fillId="0" borderId="11" xfId="0" applyFont="1" applyBorder="1"/>
    <xf numFmtId="0" fontId="16" fillId="33" borderId="10" xfId="0" applyFont="1" applyFill="1" applyBorder="1"/>
    <xf numFmtId="0" fontId="16" fillId="35" borderId="10" xfId="0" applyFont="1" applyFill="1" applyBorder="1"/>
    <xf numFmtId="0" fontId="16" fillId="36" borderId="10" xfId="0" applyFont="1" applyFill="1" applyBorder="1"/>
    <xf numFmtId="0" fontId="16" fillId="36" borderId="12" xfId="0" applyFont="1" applyFill="1" applyBorder="1"/>
    <xf numFmtId="0" fontId="16" fillId="36" borderId="11" xfId="0" applyFont="1" applyFill="1" applyBorder="1"/>
    <xf numFmtId="0" fontId="16" fillId="34" borderId="10" xfId="0" applyFont="1" applyFill="1" applyBorder="1"/>
    <xf numFmtId="0" fontId="16" fillId="35" borderId="10" xfId="0" applyFont="1" applyFill="1" applyBorder="1" applyAlignment="1">
      <alignment horizontal="center"/>
    </xf>
    <xf numFmtId="0" fontId="16" fillId="33" borderId="10" xfId="0" applyFont="1" applyFill="1" applyBorder="1" applyAlignment="1">
      <alignment horizontal="center"/>
    </xf>
    <xf numFmtId="0" fontId="16" fillId="36" borderId="0" xfId="0" applyFont="1" applyFill="1"/>
    <xf numFmtId="0" fontId="16" fillId="35" borderId="11" xfId="0" applyFont="1" applyFill="1" applyBorder="1"/>
    <xf numFmtId="0" fontId="18" fillId="0" borderId="0" xfId="0" applyFont="1"/>
    <xf numFmtId="0" fontId="16" fillId="36" borderId="10" xfId="0" applyFont="1" applyFill="1" applyBorder="1" applyAlignment="1">
      <alignment horizontal="center"/>
    </xf>
    <xf numFmtId="0" fontId="16" fillId="36" borderId="12" xfId="0" applyFont="1" applyFill="1" applyBorder="1" applyAlignment="1">
      <alignment horizontal="center"/>
    </xf>
    <xf numFmtId="0" fontId="16" fillId="37" borderId="13" xfId="0" applyFont="1" applyFill="1" applyBorder="1"/>
    <xf numFmtId="0" fontId="0" fillId="37" borderId="14" xfId="0" applyFill="1" applyBorder="1"/>
    <xf numFmtId="0" fontId="0" fillId="37" borderId="15" xfId="0" applyFill="1" applyBorder="1"/>
    <xf numFmtId="0" fontId="16" fillId="38" borderId="16" xfId="0" applyFont="1" applyFill="1" applyBorder="1"/>
    <xf numFmtId="0" fontId="16" fillId="38" borderId="17" xfId="0" applyFont="1" applyFill="1" applyBorder="1"/>
    <xf numFmtId="0" fontId="16" fillId="38" borderId="18" xfId="0" applyFont="1" applyFill="1" applyBorder="1"/>
    <xf numFmtId="0" fontId="16" fillId="0" borderId="19"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FFAF"/>
      <color rgb="FFCDF8B2"/>
      <color rgb="FFAAF37D"/>
      <color rgb="FFFFFF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699D1-89CA-4433-92E3-F3756049E84C}">
  <dimension ref="A1:K31"/>
  <sheetViews>
    <sheetView tabSelected="1" zoomScale="160" zoomScaleNormal="160" workbookViewId="0">
      <selection activeCell="K29" sqref="K29"/>
    </sheetView>
  </sheetViews>
  <sheetFormatPr defaultRowHeight="15" x14ac:dyDescent="0.25"/>
  <cols>
    <col min="1" max="1" width="16.28515625" bestFit="1" customWidth="1"/>
    <col min="2" max="2" width="13.7109375" customWidth="1"/>
    <col min="4" max="4" width="14.42578125" customWidth="1"/>
    <col min="5" max="5" width="21" customWidth="1"/>
    <col min="6" max="8" width="14.42578125" customWidth="1"/>
    <col min="9" max="9" width="21" customWidth="1"/>
  </cols>
  <sheetData>
    <row r="1" spans="1:7" x14ac:dyDescent="0.25">
      <c r="A1" s="8" t="s">
        <v>0</v>
      </c>
      <c r="B1" s="9" t="s">
        <v>1</v>
      </c>
      <c r="C1" s="9" t="s">
        <v>2</v>
      </c>
      <c r="D1" s="9" t="s">
        <v>3</v>
      </c>
      <c r="E1" s="10" t="s">
        <v>4</v>
      </c>
    </row>
    <row r="2" spans="1:7" x14ac:dyDescent="0.25">
      <c r="A2" s="7" t="s">
        <v>5</v>
      </c>
      <c r="B2" s="2">
        <f>SUM(Sunday!B2,Monday!B2,Tuesday!B2,Wednesday!B2,Thursday!B2,Friday!B2,Saturday!B2)</f>
        <v>304</v>
      </c>
      <c r="C2" s="2">
        <f>SUM(Sunday!C2,Monday!C2,Tuesday!C2,Wednesday!C2,Thursday!C2,Friday!C2,Saturday!C2)</f>
        <v>225</v>
      </c>
      <c r="D2" s="2">
        <f>SUM(Sunday!D2,Monday!D2,Tuesday!D2,Wednesday!D2,Thursday!D2,Friday!D2,Saturday!D2)</f>
        <v>167</v>
      </c>
      <c r="E2" s="7">
        <f>SUM(Sunday!E2,Monday!E2,Tuesday!E2,Wednesday!E2,Thursday!E2,Friday!E2,Saturday!E2)</f>
        <v>696</v>
      </c>
      <c r="G2" s="13" t="s">
        <v>17</v>
      </c>
    </row>
    <row r="3" spans="1:7" x14ac:dyDescent="0.25">
      <c r="A3" s="5" t="s">
        <v>6</v>
      </c>
      <c r="B3" s="2">
        <f>SUM(Sunday!B3,Monday!B3,Tuesday!B3,Wednesday!B3,Thursday!B3,Friday!B3,Saturday!B3)</f>
        <v>176</v>
      </c>
      <c r="C3" s="2">
        <f>SUM(Sunday!C3,Monday!C3,Tuesday!C3,Wednesday!C3,Thursday!C3,Friday!C3,Saturday!C3)</f>
        <v>304</v>
      </c>
      <c r="D3" s="2">
        <f>SUM(Sunday!D3,Monday!D3,Tuesday!D3,Wednesday!D3,Thursday!D3,Friday!D3,Saturday!D3)</f>
        <v>186</v>
      </c>
      <c r="E3" s="7">
        <f>SUM(Sunday!E3,Monday!E3,Tuesday!E3,Wednesday!E3,Thursday!E3,Friday!E3,Saturday!E3)</f>
        <v>666</v>
      </c>
    </row>
    <row r="4" spans="1:7" x14ac:dyDescent="0.25">
      <c r="A4" s="5" t="s">
        <v>7</v>
      </c>
      <c r="B4" s="2">
        <f>SUM(Sunday!B4,Monday!B4,Tuesday!B4,Wednesday!B4,Thursday!B4,Friday!B4,Saturday!B4)</f>
        <v>257</v>
      </c>
      <c r="C4" s="2">
        <f>SUM(Sunday!C4,Monday!C4,Tuesday!C4,Wednesday!C4,Thursday!C4,Friday!C4,Saturday!C4)</f>
        <v>238</v>
      </c>
      <c r="D4" s="2">
        <f>SUM(Sunday!D4,Monday!D4,Tuesday!D4,Wednesday!D4,Thursday!D4,Friday!D4,Saturday!D4)</f>
        <v>311</v>
      </c>
      <c r="E4" s="7">
        <f>SUM(Sunday!E4,Monday!E4,Tuesday!E4,Wednesday!E4,Thursday!E4,Friday!E4,Saturday!E4)</f>
        <v>806</v>
      </c>
    </row>
    <row r="5" spans="1:7" x14ac:dyDescent="0.25">
      <c r="A5" s="5" t="s">
        <v>8</v>
      </c>
      <c r="B5" s="2">
        <f>SUM(Sunday!B5,Monday!B5,Tuesday!B5,Wednesday!B5,Thursday!B5,Friday!B5,Saturday!B5)</f>
        <v>113</v>
      </c>
      <c r="C5" s="2">
        <f>SUM(Sunday!C5,Monday!C5,Tuesday!C5,Wednesday!C5,Thursday!C5,Friday!C5,Saturday!C5)</f>
        <v>174</v>
      </c>
      <c r="D5" s="2">
        <f>SUM(Sunday!D5,Monday!D5,Tuesday!D5,Wednesday!D5,Thursday!D5,Friday!D5,Saturday!D5)</f>
        <v>180</v>
      </c>
      <c r="E5" s="7">
        <f>SUM(Sunday!E5,Monday!E5,Tuesday!E5,Wednesday!E5,Thursday!E5,Friday!E5,Saturday!E5)</f>
        <v>467</v>
      </c>
    </row>
    <row r="6" spans="1:7" x14ac:dyDescent="0.25">
      <c r="A6" s="5" t="s">
        <v>9</v>
      </c>
      <c r="B6" s="2">
        <f>SUM(Sunday!B6,Monday!B6,Tuesday!B6,Wednesday!B6,Thursday!B6,Friday!B6,Saturday!B6)</f>
        <v>206</v>
      </c>
      <c r="C6" s="2">
        <f>SUM(Sunday!C6,Monday!C6,Tuesday!C6,Wednesday!C6,Thursday!C6,Friday!C6,Saturday!C6)</f>
        <v>212</v>
      </c>
      <c r="D6" s="2">
        <f>SUM(Sunday!D6,Monday!D6,Tuesday!D6,Wednesday!D6,Thursday!D6,Friday!D6,Saturday!D6)</f>
        <v>88</v>
      </c>
      <c r="E6" s="7">
        <f>SUM(Sunday!E6,Monday!E6,Tuesday!E6,Wednesday!E6,Thursday!E6,Friday!E6,Saturday!E6)</f>
        <v>506</v>
      </c>
    </row>
    <row r="7" spans="1:7" x14ac:dyDescent="0.25">
      <c r="A7" s="5" t="s">
        <v>10</v>
      </c>
      <c r="B7" s="2">
        <f>SUM(Sunday!B7,Monday!B7,Tuesday!B7,Wednesday!B7,Thursday!B7,Friday!B7,Saturday!B7)</f>
        <v>168</v>
      </c>
      <c r="C7" s="2">
        <f>SUM(Sunday!C7,Monday!C7,Tuesday!C7,Wednesday!C7,Thursday!C7,Friday!C7,Saturday!C7)</f>
        <v>180</v>
      </c>
      <c r="D7" s="2">
        <f>SUM(Sunday!D7,Monday!D7,Tuesday!D7,Wednesday!D7,Thursday!D7,Friday!D7,Saturday!D7)</f>
        <v>279</v>
      </c>
      <c r="E7" s="7">
        <f>SUM(Sunday!E7,Monday!E7,Tuesday!E7,Wednesday!E7,Thursday!E7,Friday!E7,Saturday!E7)</f>
        <v>627</v>
      </c>
    </row>
    <row r="8" spans="1:7" x14ac:dyDescent="0.25">
      <c r="A8" s="6" t="s">
        <v>11</v>
      </c>
      <c r="B8" s="2">
        <f>SUM(Sunday!B8,Monday!B8,Tuesday!B8,Wednesday!B8,Thursday!B8,Friday!B8,Saturday!B8)</f>
        <v>315</v>
      </c>
      <c r="C8" s="2">
        <f>SUM(Sunday!C8,Monday!C8,Tuesday!C8,Wednesday!C8,Thursday!C8,Friday!C8,Saturday!C8)</f>
        <v>77</v>
      </c>
      <c r="D8" s="2">
        <f>SUM(Sunday!D8,Monday!D8,Tuesday!D8,Wednesday!D8,Thursday!D8,Friday!D8,Saturday!D8)</f>
        <v>202</v>
      </c>
      <c r="E8" s="7">
        <f>SUM(Sunday!E8,Monday!E8,Tuesday!E8,Wednesday!E8,Thursday!E8,Friday!E8,Saturday!E8)</f>
        <v>594</v>
      </c>
    </row>
    <row r="9" spans="1:7" x14ac:dyDescent="0.25">
      <c r="A9" s="3" t="s">
        <v>12</v>
      </c>
      <c r="B9" s="12">
        <f>SUM(Sunday!B9,Monday!B9,Tuesday!B9,Wednesday!B9,Thursday!B9,Friday!B9,Saturday!B9)</f>
        <v>1539</v>
      </c>
      <c r="C9" s="12">
        <f>SUM(Sunday!C9,Monday!C9,Tuesday!C9,Wednesday!C9,Thursday!C9,Friday!C9,Saturday!C9)</f>
        <v>1410</v>
      </c>
      <c r="D9" s="12">
        <f>SUM(Sunday!D9,Monday!D9,Tuesday!D9,Wednesday!D9,Thursday!D9,Friday!D9,Saturday!D9)</f>
        <v>1413</v>
      </c>
      <c r="E9" s="7">
        <f>SUM(Sunday!E9,Monday!E9,Tuesday!E9,Wednesday!E9,Thursday!E9,Friday!E9,Saturday!E9)</f>
        <v>4362</v>
      </c>
    </row>
    <row r="10" spans="1:7" ht="15.75" thickBot="1" x14ac:dyDescent="0.3"/>
    <row r="11" spans="1:7" x14ac:dyDescent="0.25">
      <c r="A11" s="16" t="s">
        <v>13</v>
      </c>
      <c r="B11" s="17"/>
      <c r="C11" s="18"/>
    </row>
    <row r="12" spans="1:7" ht="15.75" thickBot="1" x14ac:dyDescent="0.3">
      <c r="A12" s="19" t="s">
        <v>14</v>
      </c>
      <c r="B12" s="20"/>
      <c r="C12" s="21"/>
    </row>
    <row r="14" spans="1:7" x14ac:dyDescent="0.25">
      <c r="E14" s="13" t="s">
        <v>15</v>
      </c>
    </row>
    <row r="16" spans="1:7" x14ac:dyDescent="0.25">
      <c r="A16" s="22" t="s">
        <v>16</v>
      </c>
      <c r="B16" s="22"/>
      <c r="C16" s="22"/>
      <c r="D16" s="22"/>
      <c r="E16" s="22"/>
    </row>
    <row r="17" spans="1:11" x14ac:dyDescent="0.25">
      <c r="A17" s="8" t="s">
        <v>0</v>
      </c>
      <c r="B17" s="9" t="s">
        <v>1</v>
      </c>
      <c r="C17" s="9" t="s">
        <v>2</v>
      </c>
      <c r="D17" s="9" t="s">
        <v>3</v>
      </c>
      <c r="E17" s="10" t="s">
        <v>4</v>
      </c>
    </row>
    <row r="18" spans="1:11" x14ac:dyDescent="0.25">
      <c r="A18" s="7" t="s">
        <v>5</v>
      </c>
      <c r="B18" s="2">
        <f>SUM(Monday!B2,Tuesday!B2,Wednesday!B2,Thursday!B2,Friday!B2)</f>
        <v>216</v>
      </c>
      <c r="C18" s="2">
        <f>SUM(Monday!C2,Tuesday!C2,Wednesday!C2,Thursday!C2,Friday!C2)</f>
        <v>164</v>
      </c>
      <c r="D18" s="2">
        <f>SUM(Monday!D2,Tuesday!D2,Wednesday!D2,Thursday!D2,Friday!D2)</f>
        <v>118</v>
      </c>
      <c r="E18" s="7">
        <f>SUM(Monday!E2,Tuesday!E2,Wednesday!E2,Thursday!E2,Friday!E2)</f>
        <v>498</v>
      </c>
      <c r="G18" s="13" t="s">
        <v>18</v>
      </c>
    </row>
    <row r="19" spans="1:11" x14ac:dyDescent="0.25">
      <c r="A19" s="5" t="s">
        <v>6</v>
      </c>
      <c r="B19" s="2">
        <f>SUM(Monday!B3,Tuesday!B3,Wednesday!B3,Thursday!B3,Friday!B3)</f>
        <v>128</v>
      </c>
      <c r="C19" s="2">
        <f>SUM(Monday!C3,Tuesday!C3,Wednesday!C3,Thursday!C3,Friday!C3)</f>
        <v>218</v>
      </c>
      <c r="D19" s="2">
        <f>SUM(Monday!D3,Tuesday!D3,Wednesday!D3,Thursday!D3,Friday!D3)</f>
        <v>129</v>
      </c>
      <c r="E19" s="7">
        <f>SUM(Monday!E3,Tuesday!E3,Wednesday!E3,Thursday!E3,Friday!E3)</f>
        <v>475</v>
      </c>
    </row>
    <row r="20" spans="1:11" x14ac:dyDescent="0.25">
      <c r="A20" s="5" t="s">
        <v>7</v>
      </c>
      <c r="B20" s="2">
        <f>SUM(Monday!B4,Tuesday!B4,Wednesday!B4,Thursday!B4,Friday!B4)</f>
        <v>182</v>
      </c>
      <c r="C20" s="2">
        <f>SUM(Monday!C4,Tuesday!C4,Wednesday!C4,Thursday!C4,Friday!C4)</f>
        <v>170</v>
      </c>
      <c r="D20" s="2">
        <f>SUM(Monday!D4,Tuesday!D4,Wednesday!D4,Thursday!D4,Friday!D4)</f>
        <v>220</v>
      </c>
      <c r="E20" s="7">
        <f>SUM(Monday!E4,Tuesday!E4,Wednesday!E4,Thursday!E4,Friday!E4)</f>
        <v>572</v>
      </c>
    </row>
    <row r="21" spans="1:11" x14ac:dyDescent="0.25">
      <c r="A21" s="5" t="s">
        <v>8</v>
      </c>
      <c r="B21" s="2">
        <f>SUM(Monday!B5,Tuesday!B5,Wednesday!B5,Thursday!B5,Friday!B5)</f>
        <v>74</v>
      </c>
      <c r="C21" s="2">
        <f>SUM(Monday!C5,Tuesday!C5,Wednesday!C5,Thursday!C5,Friday!C5)</f>
        <v>124</v>
      </c>
      <c r="D21" s="2">
        <f>SUM(Monday!D5,Tuesday!D5,Wednesday!D5,Thursday!D5,Friday!D5)</f>
        <v>132</v>
      </c>
      <c r="E21" s="7">
        <f>SUM(Monday!E5,Tuesday!E5,Wednesday!E5,Thursday!E5,Friday!E5)</f>
        <v>330</v>
      </c>
    </row>
    <row r="22" spans="1:11" x14ac:dyDescent="0.25">
      <c r="A22" s="5" t="s">
        <v>9</v>
      </c>
      <c r="B22" s="2">
        <f>SUM(Monday!B6,Tuesday!B6,Wednesday!B6,Thursday!B6,Friday!B6)</f>
        <v>152</v>
      </c>
      <c r="C22" s="2">
        <f>SUM(Monday!C6,Tuesday!C6,Wednesday!C6,Thursday!C6,Friday!C6)</f>
        <v>147</v>
      </c>
      <c r="D22" s="2">
        <f>SUM(Monday!D6,Tuesday!D6,Wednesday!D6,Thursday!D6,Friday!D6)</f>
        <v>65</v>
      </c>
      <c r="E22" s="7">
        <f>SUM(Monday!E6,Tuesday!E6,Wednesday!E6,Thursday!E6,Friday!E6)</f>
        <v>364</v>
      </c>
    </row>
    <row r="23" spans="1:11" x14ac:dyDescent="0.25">
      <c r="A23" s="5" t="s">
        <v>10</v>
      </c>
      <c r="B23" s="2">
        <f>SUM(Monday!B7,Tuesday!B7,Wednesday!B7,Thursday!B7,Friday!B7)</f>
        <v>121</v>
      </c>
      <c r="C23" s="2">
        <f>SUM(Monday!C7,Tuesday!C7,Wednesday!C7,Thursday!C7,Friday!C7)</f>
        <v>134</v>
      </c>
      <c r="D23" s="2">
        <f>SUM(Monday!D7,Tuesday!D7,Wednesday!D7,Thursday!D7,Friday!D7)</f>
        <v>192</v>
      </c>
      <c r="E23" s="7">
        <f>SUM(Monday!E7,Tuesday!E7,Wednesday!E7,Thursday!E7,Friday!E7)</f>
        <v>447</v>
      </c>
    </row>
    <row r="24" spans="1:11" x14ac:dyDescent="0.25">
      <c r="A24" s="6" t="s">
        <v>11</v>
      </c>
      <c r="B24" s="2">
        <f>SUM(Monday!B8,Tuesday!B8,Wednesday!B8,Thursday!B8,Friday!B8)</f>
        <v>225</v>
      </c>
      <c r="C24" s="2">
        <f>SUM(Monday!C8,Tuesday!C8,Wednesday!C8,Thursday!C8,Friday!C8)</f>
        <v>54</v>
      </c>
      <c r="D24" s="2">
        <f>SUM(Monday!D8,Tuesday!D8,Wednesday!D8,Thursday!D8,Friday!D8)</f>
        <v>150</v>
      </c>
      <c r="E24" s="7">
        <f>SUM(Monday!E8,Tuesday!E8,Wednesday!E8,Thursday!E8,Friday!E8)</f>
        <v>429</v>
      </c>
    </row>
    <row r="25" spans="1:11" x14ac:dyDescent="0.25">
      <c r="A25" s="3" t="s">
        <v>12</v>
      </c>
      <c r="B25" s="12">
        <f>SUM(Monday!B9,Tuesday!B9,Wednesday!B9,Thursday!B9,Friday!B9)</f>
        <v>1098</v>
      </c>
      <c r="C25" s="12">
        <f>SUM(Monday!C9,Tuesday!C9,Wednesday!C9,Thursday!C9,Friday!C9)</f>
        <v>1011</v>
      </c>
      <c r="D25" s="12">
        <f>SUM(Monday!D9,Tuesday!D9,Wednesday!D9,Thursday!D9,Friday!D9)</f>
        <v>1006</v>
      </c>
      <c r="E25" s="7">
        <f>SUM(Monday!E9,Tuesday!E9,Wednesday!E9,Thursday!E9,Friday!E9)</f>
        <v>3115</v>
      </c>
    </row>
    <row r="27" spans="1:11" x14ac:dyDescent="0.25">
      <c r="A27" s="22" t="s">
        <v>19</v>
      </c>
      <c r="B27" s="22"/>
      <c r="C27" s="22"/>
      <c r="D27" s="22"/>
      <c r="E27" s="22"/>
      <c r="F27" s="22"/>
      <c r="G27" s="22"/>
      <c r="H27" s="22"/>
      <c r="I27" s="22"/>
    </row>
    <row r="28" spans="1:11" x14ac:dyDescent="0.25">
      <c r="A28" s="8" t="s">
        <v>0</v>
      </c>
      <c r="B28" s="14" t="s">
        <v>5</v>
      </c>
      <c r="C28" s="14" t="s">
        <v>6</v>
      </c>
      <c r="D28" s="14" t="s">
        <v>7</v>
      </c>
      <c r="E28" s="14" t="s">
        <v>8</v>
      </c>
      <c r="F28" s="14" t="s">
        <v>9</v>
      </c>
      <c r="G28" s="14" t="s">
        <v>10</v>
      </c>
      <c r="H28" s="15" t="s">
        <v>11</v>
      </c>
      <c r="I28" s="10" t="s">
        <v>12</v>
      </c>
    </row>
    <row r="29" spans="1:11" x14ac:dyDescent="0.25">
      <c r="A29" s="9" t="s">
        <v>1</v>
      </c>
      <c r="B29" s="2">
        <v>216</v>
      </c>
      <c r="C29" s="2">
        <v>128</v>
      </c>
      <c r="D29" s="2">
        <v>182</v>
      </c>
      <c r="E29" s="2">
        <v>74</v>
      </c>
      <c r="F29" s="2">
        <v>152</v>
      </c>
      <c r="G29" s="2">
        <v>121</v>
      </c>
      <c r="H29" s="1">
        <v>225</v>
      </c>
      <c r="I29" s="12">
        <v>1098</v>
      </c>
      <c r="K29" s="13" t="s">
        <v>20</v>
      </c>
    </row>
    <row r="30" spans="1:11" x14ac:dyDescent="0.25">
      <c r="A30" s="9" t="s">
        <v>2</v>
      </c>
      <c r="B30" s="2">
        <v>164</v>
      </c>
      <c r="C30" s="2">
        <v>218</v>
      </c>
      <c r="D30" s="2">
        <v>170</v>
      </c>
      <c r="E30" s="2">
        <v>124</v>
      </c>
      <c r="F30" s="2">
        <v>147</v>
      </c>
      <c r="G30" s="2">
        <v>134</v>
      </c>
      <c r="H30" s="2">
        <v>54</v>
      </c>
      <c r="I30" s="12">
        <v>1011</v>
      </c>
    </row>
    <row r="31" spans="1:11" x14ac:dyDescent="0.25">
      <c r="A31" s="9" t="s">
        <v>3</v>
      </c>
      <c r="B31" s="2">
        <v>118</v>
      </c>
      <c r="C31" s="2">
        <v>129</v>
      </c>
      <c r="D31" s="2">
        <v>220</v>
      </c>
      <c r="E31" s="2">
        <v>132</v>
      </c>
      <c r="F31" s="2">
        <v>65</v>
      </c>
      <c r="G31" s="2">
        <v>192</v>
      </c>
      <c r="H31" s="2">
        <v>150</v>
      </c>
      <c r="I31" s="12">
        <v>1006</v>
      </c>
    </row>
  </sheetData>
  <mergeCells count="4">
    <mergeCell ref="A11:C11"/>
    <mergeCell ref="A12:C12"/>
    <mergeCell ref="A16:E16"/>
    <mergeCell ref="A27:I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C6B7F-41C2-49F1-B963-E1C55A69B483}">
  <dimension ref="A1:E9"/>
  <sheetViews>
    <sheetView zoomScale="160" zoomScaleNormal="160" workbookViewId="0">
      <selection activeCell="B9" sqref="B9:D9"/>
    </sheetView>
  </sheetViews>
  <sheetFormatPr defaultRowHeight="15" x14ac:dyDescent="0.25"/>
  <cols>
    <col min="1" max="1" width="15.85546875" customWidth="1"/>
    <col min="2" max="2" width="13.7109375" customWidth="1"/>
    <col min="4" max="4" width="14.42578125" customWidth="1"/>
    <col min="5" max="5" width="19.42578125" bestFit="1" customWidth="1"/>
  </cols>
  <sheetData>
    <row r="1" spans="1:5" x14ac:dyDescent="0.25">
      <c r="A1" s="8" t="s">
        <v>0</v>
      </c>
      <c r="B1" s="9" t="s">
        <v>1</v>
      </c>
      <c r="C1" s="9" t="s">
        <v>2</v>
      </c>
      <c r="D1" s="9" t="s">
        <v>3</v>
      </c>
      <c r="E1" s="10" t="s">
        <v>4</v>
      </c>
    </row>
    <row r="2" spans="1:5" x14ac:dyDescent="0.25">
      <c r="A2" s="11" t="s">
        <v>5</v>
      </c>
      <c r="B2" s="2">
        <v>40</v>
      </c>
      <c r="C2" s="2">
        <v>31</v>
      </c>
      <c r="D2" s="2">
        <v>23</v>
      </c>
      <c r="E2" s="7">
        <f>SUM(B2:D2)</f>
        <v>94</v>
      </c>
    </row>
    <row r="3" spans="1:5" x14ac:dyDescent="0.25">
      <c r="A3" s="11" t="s">
        <v>6</v>
      </c>
      <c r="B3" s="1">
        <v>25</v>
      </c>
      <c r="C3" s="1">
        <v>42</v>
      </c>
      <c r="D3" s="1">
        <v>27</v>
      </c>
      <c r="E3" s="7">
        <f t="shared" ref="E3:E9" si="0">SUM(B3:D3)</f>
        <v>94</v>
      </c>
    </row>
    <row r="4" spans="1:5" x14ac:dyDescent="0.25">
      <c r="A4" s="11" t="s">
        <v>7</v>
      </c>
      <c r="B4" s="1">
        <v>40</v>
      </c>
      <c r="C4" s="1">
        <v>37</v>
      </c>
      <c r="D4" s="1">
        <v>42</v>
      </c>
      <c r="E4" s="7">
        <f t="shared" si="0"/>
        <v>119</v>
      </c>
    </row>
    <row r="5" spans="1:5" x14ac:dyDescent="0.25">
      <c r="A5" s="11" t="s">
        <v>8</v>
      </c>
      <c r="B5" s="1">
        <v>20</v>
      </c>
      <c r="C5" s="1">
        <v>30</v>
      </c>
      <c r="D5" s="1">
        <v>25</v>
      </c>
      <c r="E5" s="7">
        <f t="shared" si="0"/>
        <v>75</v>
      </c>
    </row>
    <row r="6" spans="1:5" x14ac:dyDescent="0.25">
      <c r="A6" s="11" t="s">
        <v>9</v>
      </c>
      <c r="B6" s="1">
        <v>25</v>
      </c>
      <c r="C6" s="1">
        <v>30</v>
      </c>
      <c r="D6" s="1">
        <v>11</v>
      </c>
      <c r="E6" s="7">
        <f t="shared" si="0"/>
        <v>66</v>
      </c>
    </row>
    <row r="7" spans="1:5" x14ac:dyDescent="0.25">
      <c r="A7" s="11" t="s">
        <v>10</v>
      </c>
      <c r="B7" s="1">
        <v>20</v>
      </c>
      <c r="C7" s="1">
        <v>22</v>
      </c>
      <c r="D7" s="1">
        <v>43</v>
      </c>
      <c r="E7" s="7">
        <f t="shared" si="0"/>
        <v>85</v>
      </c>
    </row>
    <row r="8" spans="1:5" x14ac:dyDescent="0.25">
      <c r="A8" s="11" t="s">
        <v>11</v>
      </c>
      <c r="B8" s="1">
        <v>40</v>
      </c>
      <c r="C8" s="1">
        <v>10</v>
      </c>
      <c r="D8" s="1">
        <v>25</v>
      </c>
      <c r="E8" s="7">
        <f t="shared" si="0"/>
        <v>75</v>
      </c>
    </row>
    <row r="9" spans="1:5" x14ac:dyDescent="0.25">
      <c r="A9" s="3" t="s">
        <v>12</v>
      </c>
      <c r="B9" s="4">
        <f>SUM(B2:B8)</f>
        <v>210</v>
      </c>
      <c r="C9" s="4">
        <f t="shared" ref="C9:D9" si="1">SUM(C2:C8)</f>
        <v>202</v>
      </c>
      <c r="D9" s="4">
        <f t="shared" si="1"/>
        <v>196</v>
      </c>
      <c r="E9" s="7">
        <f t="shared" si="0"/>
        <v>608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650BA-3E72-454B-8E7A-9F7141424FE3}">
  <dimension ref="A1:E9"/>
  <sheetViews>
    <sheetView zoomScale="160" zoomScaleNormal="160" workbookViewId="0">
      <selection activeCell="E9" sqref="E9"/>
    </sheetView>
  </sheetViews>
  <sheetFormatPr defaultRowHeight="15" x14ac:dyDescent="0.25"/>
  <cols>
    <col min="1" max="1" width="15.85546875" customWidth="1"/>
    <col min="2" max="2" width="13.7109375" customWidth="1"/>
    <col min="4" max="4" width="14.42578125" customWidth="1"/>
    <col min="5" max="5" width="19.42578125" bestFit="1" customWidth="1"/>
  </cols>
  <sheetData>
    <row r="1" spans="1:5" x14ac:dyDescent="0.25">
      <c r="A1" s="8" t="s">
        <v>0</v>
      </c>
      <c r="B1" s="9" t="s">
        <v>1</v>
      </c>
      <c r="C1" s="9" t="s">
        <v>2</v>
      </c>
      <c r="D1" s="9" t="s">
        <v>3</v>
      </c>
      <c r="E1" s="10" t="s">
        <v>4</v>
      </c>
    </row>
    <row r="2" spans="1:5" x14ac:dyDescent="0.25">
      <c r="A2" s="11" t="s">
        <v>5</v>
      </c>
      <c r="B2" s="2">
        <v>41</v>
      </c>
      <c r="C2" s="2">
        <v>30</v>
      </c>
      <c r="D2" s="2">
        <v>22</v>
      </c>
      <c r="E2" s="7">
        <f>SUM(B2:D2)</f>
        <v>93</v>
      </c>
    </row>
    <row r="3" spans="1:5" x14ac:dyDescent="0.25">
      <c r="A3" s="11" t="s">
        <v>6</v>
      </c>
      <c r="B3" s="1">
        <v>27</v>
      </c>
      <c r="C3" s="1">
        <v>48</v>
      </c>
      <c r="D3" s="1">
        <v>25</v>
      </c>
      <c r="E3" s="7">
        <f t="shared" ref="E3:E9" si="0">SUM(B3:D3)</f>
        <v>100</v>
      </c>
    </row>
    <row r="4" spans="1:5" x14ac:dyDescent="0.25">
      <c r="A4" s="11" t="s">
        <v>7</v>
      </c>
      <c r="B4" s="1">
        <v>37</v>
      </c>
      <c r="C4" s="1">
        <v>30</v>
      </c>
      <c r="D4" s="1">
        <v>45</v>
      </c>
      <c r="E4" s="7">
        <f t="shared" si="0"/>
        <v>112</v>
      </c>
    </row>
    <row r="5" spans="1:5" x14ac:dyDescent="0.25">
      <c r="A5" s="11" t="s">
        <v>8</v>
      </c>
      <c r="B5" s="1">
        <v>20</v>
      </c>
      <c r="C5" s="1">
        <v>21</v>
      </c>
      <c r="D5" s="1">
        <v>29</v>
      </c>
      <c r="E5" s="7">
        <f t="shared" si="0"/>
        <v>70</v>
      </c>
    </row>
    <row r="6" spans="1:5" x14ac:dyDescent="0.25">
      <c r="A6" s="11" t="s">
        <v>9</v>
      </c>
      <c r="B6" s="1">
        <v>29</v>
      </c>
      <c r="C6" s="1">
        <v>29</v>
      </c>
      <c r="D6" s="1">
        <v>10</v>
      </c>
      <c r="E6" s="7">
        <f t="shared" si="0"/>
        <v>68</v>
      </c>
    </row>
    <row r="7" spans="1:5" x14ac:dyDescent="0.25">
      <c r="A7" s="11" t="s">
        <v>10</v>
      </c>
      <c r="B7" s="1">
        <v>22</v>
      </c>
      <c r="C7" s="1">
        <v>30</v>
      </c>
      <c r="D7" s="1">
        <v>45</v>
      </c>
      <c r="E7" s="7">
        <f t="shared" si="0"/>
        <v>97</v>
      </c>
    </row>
    <row r="8" spans="1:5" x14ac:dyDescent="0.25">
      <c r="A8" s="11" t="s">
        <v>11</v>
      </c>
      <c r="B8" s="1">
        <v>49</v>
      </c>
      <c r="C8" s="1">
        <v>12</v>
      </c>
      <c r="D8" s="1">
        <v>31</v>
      </c>
      <c r="E8" s="7">
        <f t="shared" si="0"/>
        <v>92</v>
      </c>
    </row>
    <row r="9" spans="1:5" x14ac:dyDescent="0.25">
      <c r="A9" s="3" t="s">
        <v>12</v>
      </c>
      <c r="B9" s="4">
        <f>SUM(B2:B8)</f>
        <v>225</v>
      </c>
      <c r="C9" s="4">
        <f t="shared" ref="C9:D9" si="1">SUM(C2:C8)</f>
        <v>200</v>
      </c>
      <c r="D9" s="4">
        <f t="shared" si="1"/>
        <v>207</v>
      </c>
      <c r="E9" s="7">
        <f t="shared" si="0"/>
        <v>632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8BC33-6E82-478F-8E6D-835274BA7F08}">
  <dimension ref="A1:E9"/>
  <sheetViews>
    <sheetView zoomScale="160" zoomScaleNormal="160" workbookViewId="0">
      <selection activeCell="E2" sqref="E2:E9"/>
    </sheetView>
  </sheetViews>
  <sheetFormatPr defaultRowHeight="15" x14ac:dyDescent="0.25"/>
  <cols>
    <col min="1" max="1" width="15.85546875" customWidth="1"/>
    <col min="2" max="2" width="13.7109375" customWidth="1"/>
    <col min="4" max="4" width="14.42578125" customWidth="1"/>
    <col min="5" max="5" width="19.42578125" bestFit="1" customWidth="1"/>
  </cols>
  <sheetData>
    <row r="1" spans="1:5" x14ac:dyDescent="0.25">
      <c r="A1" s="8" t="s">
        <v>0</v>
      </c>
      <c r="B1" s="9" t="s">
        <v>1</v>
      </c>
      <c r="C1" s="9" t="s">
        <v>2</v>
      </c>
      <c r="D1" s="9" t="s">
        <v>3</v>
      </c>
      <c r="E1" s="10" t="s">
        <v>4</v>
      </c>
    </row>
    <row r="2" spans="1:5" x14ac:dyDescent="0.25">
      <c r="A2" s="11" t="s">
        <v>5</v>
      </c>
      <c r="B2" s="2">
        <v>44</v>
      </c>
      <c r="C2" s="2">
        <v>32</v>
      </c>
      <c r="D2" s="2">
        <v>25</v>
      </c>
      <c r="E2" s="7">
        <f>SUM(B2:D2)</f>
        <v>101</v>
      </c>
    </row>
    <row r="3" spans="1:5" x14ac:dyDescent="0.25">
      <c r="A3" s="11" t="s">
        <v>6</v>
      </c>
      <c r="B3" s="1">
        <v>21</v>
      </c>
      <c r="C3" s="1">
        <v>45</v>
      </c>
      <c r="D3" s="1">
        <v>30</v>
      </c>
      <c r="E3" s="7">
        <f t="shared" ref="E3:E9" si="0">SUM(B3:D3)</f>
        <v>96</v>
      </c>
    </row>
    <row r="4" spans="1:5" x14ac:dyDescent="0.25">
      <c r="A4" s="11" t="s">
        <v>7</v>
      </c>
      <c r="B4" s="1">
        <v>40</v>
      </c>
      <c r="C4" s="1">
        <v>33</v>
      </c>
      <c r="D4" s="1">
        <v>49</v>
      </c>
      <c r="E4" s="7">
        <f t="shared" si="0"/>
        <v>122</v>
      </c>
    </row>
    <row r="5" spans="1:5" x14ac:dyDescent="0.25">
      <c r="A5" s="11" t="s">
        <v>8</v>
      </c>
      <c r="B5" s="1">
        <v>11</v>
      </c>
      <c r="C5" s="1">
        <v>26</v>
      </c>
      <c r="D5" s="1">
        <v>27</v>
      </c>
      <c r="E5" s="7">
        <f t="shared" si="0"/>
        <v>64</v>
      </c>
    </row>
    <row r="6" spans="1:5" x14ac:dyDescent="0.25">
      <c r="A6" s="11" t="s">
        <v>9</v>
      </c>
      <c r="B6" s="1">
        <v>32</v>
      </c>
      <c r="C6" s="1">
        <v>35</v>
      </c>
      <c r="D6" s="1">
        <v>15</v>
      </c>
      <c r="E6" s="7">
        <f t="shared" si="0"/>
        <v>82</v>
      </c>
    </row>
    <row r="7" spans="1:5" x14ac:dyDescent="0.25">
      <c r="A7" s="11" t="s">
        <v>10</v>
      </c>
      <c r="B7" s="1">
        <v>22</v>
      </c>
      <c r="C7" s="1">
        <v>29</v>
      </c>
      <c r="D7" s="1">
        <v>35</v>
      </c>
      <c r="E7" s="7">
        <f t="shared" si="0"/>
        <v>86</v>
      </c>
    </row>
    <row r="8" spans="1:5" x14ac:dyDescent="0.25">
      <c r="A8" s="11" t="s">
        <v>11</v>
      </c>
      <c r="B8" s="1">
        <v>42</v>
      </c>
      <c r="C8" s="1">
        <v>10</v>
      </c>
      <c r="D8" s="1">
        <v>27</v>
      </c>
      <c r="E8" s="7">
        <f t="shared" si="0"/>
        <v>79</v>
      </c>
    </row>
    <row r="9" spans="1:5" x14ac:dyDescent="0.25">
      <c r="A9" s="3" t="s">
        <v>12</v>
      </c>
      <c r="B9" s="4">
        <f>SUM(B2:B8)</f>
        <v>212</v>
      </c>
      <c r="C9" s="4">
        <f t="shared" ref="C9:D9" si="1">SUM(C2:C8)</f>
        <v>210</v>
      </c>
      <c r="D9" s="4">
        <f t="shared" si="1"/>
        <v>208</v>
      </c>
      <c r="E9" s="7">
        <f t="shared" si="0"/>
        <v>630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EBB3F-041C-49B1-B286-A1A15EF95BE7}">
  <dimension ref="A1:E9"/>
  <sheetViews>
    <sheetView zoomScale="160" zoomScaleNormal="160" workbookViewId="0">
      <selection activeCell="B9" sqref="B9:D9"/>
    </sheetView>
  </sheetViews>
  <sheetFormatPr defaultRowHeight="15" x14ac:dyDescent="0.25"/>
  <cols>
    <col min="1" max="1" width="15.85546875" customWidth="1"/>
    <col min="2" max="2" width="13.7109375" customWidth="1"/>
    <col min="4" max="4" width="14.42578125" customWidth="1"/>
    <col min="5" max="5" width="19.42578125" bestFit="1" customWidth="1"/>
  </cols>
  <sheetData>
    <row r="1" spans="1:5" x14ac:dyDescent="0.25">
      <c r="A1" s="8" t="s">
        <v>0</v>
      </c>
      <c r="B1" s="9" t="s">
        <v>1</v>
      </c>
      <c r="C1" s="9" t="s">
        <v>2</v>
      </c>
      <c r="D1" s="9" t="s">
        <v>3</v>
      </c>
      <c r="E1" s="10" t="s">
        <v>4</v>
      </c>
    </row>
    <row r="2" spans="1:5" x14ac:dyDescent="0.25">
      <c r="A2" s="11" t="s">
        <v>5</v>
      </c>
      <c r="B2" s="2">
        <v>41</v>
      </c>
      <c r="C2" s="2">
        <v>35</v>
      </c>
      <c r="D2" s="2">
        <v>22</v>
      </c>
      <c r="E2" s="7">
        <f>SUM(B2:D2)</f>
        <v>98</v>
      </c>
    </row>
    <row r="3" spans="1:5" x14ac:dyDescent="0.25">
      <c r="A3" s="11" t="s">
        <v>6</v>
      </c>
      <c r="B3" s="1">
        <v>24</v>
      </c>
      <c r="C3" s="1">
        <v>41</v>
      </c>
      <c r="D3" s="1">
        <v>24</v>
      </c>
      <c r="E3" s="7">
        <f t="shared" ref="E3:E9" si="0">SUM(B3:D3)</f>
        <v>89</v>
      </c>
    </row>
    <row r="4" spans="1:5" x14ac:dyDescent="0.25">
      <c r="A4" s="11" t="s">
        <v>7</v>
      </c>
      <c r="B4" s="1">
        <v>36</v>
      </c>
      <c r="C4" s="1">
        <v>32</v>
      </c>
      <c r="D4" s="1">
        <v>40</v>
      </c>
      <c r="E4" s="7">
        <f t="shared" si="0"/>
        <v>108</v>
      </c>
    </row>
    <row r="5" spans="1:5" x14ac:dyDescent="0.25">
      <c r="A5" s="11" t="s">
        <v>8</v>
      </c>
      <c r="B5" s="1">
        <v>11</v>
      </c>
      <c r="C5" s="1">
        <v>29</v>
      </c>
      <c r="D5" s="1">
        <v>27</v>
      </c>
      <c r="E5" s="7">
        <f t="shared" si="0"/>
        <v>67</v>
      </c>
    </row>
    <row r="6" spans="1:5" x14ac:dyDescent="0.25">
      <c r="A6" s="11" t="s">
        <v>9</v>
      </c>
      <c r="B6" s="1">
        <v>29</v>
      </c>
      <c r="C6" s="1">
        <v>26</v>
      </c>
      <c r="D6" s="1">
        <v>13</v>
      </c>
      <c r="E6" s="7">
        <f t="shared" si="0"/>
        <v>68</v>
      </c>
    </row>
    <row r="7" spans="1:5" x14ac:dyDescent="0.25">
      <c r="A7" s="11" t="s">
        <v>10</v>
      </c>
      <c r="B7" s="1">
        <v>22</v>
      </c>
      <c r="C7" s="1">
        <v>30</v>
      </c>
      <c r="D7" s="1">
        <v>40</v>
      </c>
      <c r="E7" s="7">
        <f t="shared" si="0"/>
        <v>92</v>
      </c>
    </row>
    <row r="8" spans="1:5" x14ac:dyDescent="0.25">
      <c r="A8" s="11" t="s">
        <v>11</v>
      </c>
      <c r="B8" s="1">
        <v>44</v>
      </c>
      <c r="C8" s="1">
        <v>10</v>
      </c>
      <c r="D8" s="1">
        <v>30</v>
      </c>
      <c r="E8" s="7">
        <f t="shared" si="0"/>
        <v>84</v>
      </c>
    </row>
    <row r="9" spans="1:5" x14ac:dyDescent="0.25">
      <c r="A9" s="3" t="s">
        <v>12</v>
      </c>
      <c r="B9" s="4">
        <f>SUM(B2:B8)</f>
        <v>207</v>
      </c>
      <c r="C9" s="4">
        <f t="shared" ref="C9:D9" si="1">SUM(C2:C8)</f>
        <v>203</v>
      </c>
      <c r="D9" s="4">
        <f t="shared" si="1"/>
        <v>196</v>
      </c>
      <c r="E9" s="7">
        <f t="shared" si="0"/>
        <v>606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6A02B-F284-4B12-9944-A090D6C13EAF}">
  <dimension ref="A1:E9"/>
  <sheetViews>
    <sheetView zoomScale="160" zoomScaleNormal="160" workbookViewId="0">
      <selection activeCell="E9" sqref="E9"/>
    </sheetView>
  </sheetViews>
  <sheetFormatPr defaultRowHeight="15" x14ac:dyDescent="0.25"/>
  <cols>
    <col min="1" max="1" width="15.85546875" customWidth="1"/>
    <col min="2" max="2" width="13.7109375" customWidth="1"/>
    <col min="4" max="4" width="14.42578125" customWidth="1"/>
    <col min="5" max="5" width="19.42578125" bestFit="1" customWidth="1"/>
  </cols>
  <sheetData>
    <row r="1" spans="1:5" x14ac:dyDescent="0.25">
      <c r="A1" s="8" t="s">
        <v>0</v>
      </c>
      <c r="B1" s="9" t="s">
        <v>1</v>
      </c>
      <c r="C1" s="9" t="s">
        <v>2</v>
      </c>
      <c r="D1" s="9" t="s">
        <v>3</v>
      </c>
      <c r="E1" s="10" t="s">
        <v>4</v>
      </c>
    </row>
    <row r="2" spans="1:5" x14ac:dyDescent="0.25">
      <c r="A2" s="11" t="s">
        <v>5</v>
      </c>
      <c r="B2" s="2">
        <v>47</v>
      </c>
      <c r="C2" s="2">
        <v>31</v>
      </c>
      <c r="D2" s="2">
        <v>26</v>
      </c>
      <c r="E2" s="7">
        <f>SUM(B2:D2)</f>
        <v>104</v>
      </c>
    </row>
    <row r="3" spans="1:5" x14ac:dyDescent="0.25">
      <c r="A3" s="11" t="s">
        <v>6</v>
      </c>
      <c r="B3" s="1">
        <v>27</v>
      </c>
      <c r="C3" s="1">
        <v>41</v>
      </c>
      <c r="D3" s="1">
        <v>24</v>
      </c>
      <c r="E3" s="7">
        <f t="shared" ref="E3:E9" si="0">SUM(B3:D3)</f>
        <v>92</v>
      </c>
    </row>
    <row r="4" spans="1:5" x14ac:dyDescent="0.25">
      <c r="A4" s="11" t="s">
        <v>7</v>
      </c>
      <c r="B4" s="1">
        <v>35</v>
      </c>
      <c r="C4" s="1">
        <v>38</v>
      </c>
      <c r="D4" s="1">
        <v>42</v>
      </c>
      <c r="E4" s="7">
        <f t="shared" si="0"/>
        <v>115</v>
      </c>
    </row>
    <row r="5" spans="1:5" x14ac:dyDescent="0.25">
      <c r="A5" s="11" t="s">
        <v>8</v>
      </c>
      <c r="B5" s="1">
        <v>18</v>
      </c>
      <c r="C5" s="1">
        <v>26</v>
      </c>
      <c r="D5" s="1">
        <v>20</v>
      </c>
      <c r="E5" s="7">
        <f t="shared" si="0"/>
        <v>64</v>
      </c>
    </row>
    <row r="6" spans="1:5" x14ac:dyDescent="0.25">
      <c r="A6" s="11" t="s">
        <v>9</v>
      </c>
      <c r="B6" s="1">
        <v>27</v>
      </c>
      <c r="C6" s="1">
        <v>32</v>
      </c>
      <c r="D6" s="1">
        <v>12</v>
      </c>
      <c r="E6" s="7">
        <f t="shared" si="0"/>
        <v>71</v>
      </c>
    </row>
    <row r="7" spans="1:5" x14ac:dyDescent="0.25">
      <c r="A7" s="11" t="s">
        <v>10</v>
      </c>
      <c r="B7" s="1">
        <v>30</v>
      </c>
      <c r="C7" s="1">
        <v>20</v>
      </c>
      <c r="D7" s="1">
        <v>37</v>
      </c>
      <c r="E7" s="7">
        <f t="shared" si="0"/>
        <v>87</v>
      </c>
    </row>
    <row r="8" spans="1:5" x14ac:dyDescent="0.25">
      <c r="A8" s="11" t="s">
        <v>11</v>
      </c>
      <c r="B8" s="1">
        <v>47</v>
      </c>
      <c r="C8" s="1">
        <v>12</v>
      </c>
      <c r="D8" s="1">
        <v>27</v>
      </c>
      <c r="E8" s="7">
        <f t="shared" si="0"/>
        <v>86</v>
      </c>
    </row>
    <row r="9" spans="1:5" x14ac:dyDescent="0.25">
      <c r="A9" s="3" t="s">
        <v>12</v>
      </c>
      <c r="B9" s="4">
        <f>SUM(B2:B8)</f>
        <v>231</v>
      </c>
      <c r="C9" s="4">
        <f t="shared" ref="C9:D9" si="1">SUM(C2:C8)</f>
        <v>200</v>
      </c>
      <c r="D9" s="4">
        <f t="shared" si="1"/>
        <v>188</v>
      </c>
      <c r="E9" s="7">
        <f t="shared" si="0"/>
        <v>619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4592-6CBE-4EC7-95CB-69BC0BC1AD81}">
  <dimension ref="A1:E9"/>
  <sheetViews>
    <sheetView zoomScale="160" zoomScaleNormal="160" workbookViewId="0">
      <selection activeCell="B9" sqref="B9:D9"/>
    </sheetView>
  </sheetViews>
  <sheetFormatPr defaultRowHeight="15" x14ac:dyDescent="0.25"/>
  <cols>
    <col min="1" max="1" width="15.85546875" customWidth="1"/>
    <col min="2" max="2" width="13.7109375" customWidth="1"/>
    <col min="4" max="4" width="14.42578125" customWidth="1"/>
    <col min="5" max="5" width="19.42578125" bestFit="1" customWidth="1"/>
  </cols>
  <sheetData>
    <row r="1" spans="1:5" x14ac:dyDescent="0.25">
      <c r="A1" s="8" t="s">
        <v>0</v>
      </c>
      <c r="B1" s="9" t="s">
        <v>1</v>
      </c>
      <c r="C1" s="9" t="s">
        <v>2</v>
      </c>
      <c r="D1" s="9" t="s">
        <v>3</v>
      </c>
      <c r="E1" s="10" t="s">
        <v>4</v>
      </c>
    </row>
    <row r="2" spans="1:5" x14ac:dyDescent="0.25">
      <c r="A2" s="11" t="s">
        <v>5</v>
      </c>
      <c r="B2" s="2">
        <v>43</v>
      </c>
      <c r="C2" s="2">
        <v>36</v>
      </c>
      <c r="D2" s="2">
        <v>23</v>
      </c>
      <c r="E2" s="7">
        <f>SUM(B2:D2)</f>
        <v>102</v>
      </c>
    </row>
    <row r="3" spans="1:5" x14ac:dyDescent="0.25">
      <c r="A3" s="11" t="s">
        <v>6</v>
      </c>
      <c r="B3" s="1">
        <v>29</v>
      </c>
      <c r="C3" s="1">
        <v>43</v>
      </c>
      <c r="D3" s="1">
        <v>26</v>
      </c>
      <c r="E3" s="7">
        <f t="shared" ref="E3:E9" si="0">SUM(B3:D3)</f>
        <v>98</v>
      </c>
    </row>
    <row r="4" spans="1:5" x14ac:dyDescent="0.25">
      <c r="A4" s="11" t="s">
        <v>7</v>
      </c>
      <c r="B4" s="1">
        <v>34</v>
      </c>
      <c r="C4" s="1">
        <v>37</v>
      </c>
      <c r="D4" s="1">
        <v>44</v>
      </c>
      <c r="E4" s="7">
        <f t="shared" si="0"/>
        <v>115</v>
      </c>
    </row>
    <row r="5" spans="1:5" x14ac:dyDescent="0.25">
      <c r="A5" s="11" t="s">
        <v>8</v>
      </c>
      <c r="B5" s="1">
        <v>14</v>
      </c>
      <c r="C5" s="1">
        <v>22</v>
      </c>
      <c r="D5" s="1">
        <v>29</v>
      </c>
      <c r="E5" s="7">
        <f t="shared" si="0"/>
        <v>65</v>
      </c>
    </row>
    <row r="6" spans="1:5" x14ac:dyDescent="0.25">
      <c r="A6" s="11" t="s">
        <v>9</v>
      </c>
      <c r="B6" s="1">
        <v>35</v>
      </c>
      <c r="C6" s="1">
        <v>25</v>
      </c>
      <c r="D6" s="1">
        <v>15</v>
      </c>
      <c r="E6" s="7">
        <f t="shared" si="0"/>
        <v>75</v>
      </c>
    </row>
    <row r="7" spans="1:5" x14ac:dyDescent="0.25">
      <c r="A7" s="11" t="s">
        <v>10</v>
      </c>
      <c r="B7" s="1">
        <v>25</v>
      </c>
      <c r="C7" s="1">
        <v>25</v>
      </c>
      <c r="D7" s="1">
        <v>35</v>
      </c>
      <c r="E7" s="7">
        <f t="shared" si="0"/>
        <v>85</v>
      </c>
    </row>
    <row r="8" spans="1:5" x14ac:dyDescent="0.25">
      <c r="A8" s="11" t="s">
        <v>11</v>
      </c>
      <c r="B8" s="1">
        <v>43</v>
      </c>
      <c r="C8" s="1">
        <v>10</v>
      </c>
      <c r="D8" s="1">
        <v>35</v>
      </c>
      <c r="E8" s="7">
        <f t="shared" si="0"/>
        <v>88</v>
      </c>
    </row>
    <row r="9" spans="1:5" x14ac:dyDescent="0.25">
      <c r="A9" s="3" t="s">
        <v>12</v>
      </c>
      <c r="B9" s="4">
        <f>SUM(B2:B8)</f>
        <v>223</v>
      </c>
      <c r="C9" s="4">
        <f t="shared" ref="C9:D9" si="1">SUM(C2:C8)</f>
        <v>198</v>
      </c>
      <c r="D9" s="4">
        <f t="shared" si="1"/>
        <v>207</v>
      </c>
      <c r="E9" s="7">
        <f t="shared" si="0"/>
        <v>628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F7EB5-E698-4CDD-BA21-61584F242539}">
  <dimension ref="A1:E9"/>
  <sheetViews>
    <sheetView zoomScale="160" zoomScaleNormal="160" workbookViewId="0">
      <selection activeCell="E2" sqref="E2"/>
    </sheetView>
  </sheetViews>
  <sheetFormatPr defaultRowHeight="15" x14ac:dyDescent="0.25"/>
  <cols>
    <col min="1" max="1" width="15.85546875" customWidth="1"/>
    <col min="2" max="2" width="13.7109375" customWidth="1"/>
    <col min="4" max="4" width="14.42578125" customWidth="1"/>
    <col min="5" max="5" width="19.42578125" bestFit="1" customWidth="1"/>
  </cols>
  <sheetData>
    <row r="1" spans="1:5" x14ac:dyDescent="0.25">
      <c r="A1" s="8" t="s">
        <v>0</v>
      </c>
      <c r="B1" s="9" t="s">
        <v>1</v>
      </c>
      <c r="C1" s="9" t="s">
        <v>2</v>
      </c>
      <c r="D1" s="9" t="s">
        <v>3</v>
      </c>
      <c r="E1" s="10" t="s">
        <v>4</v>
      </c>
    </row>
    <row r="2" spans="1:5" x14ac:dyDescent="0.25">
      <c r="A2" s="11" t="s">
        <v>5</v>
      </c>
      <c r="B2" s="2">
        <v>48</v>
      </c>
      <c r="C2" s="2">
        <v>30</v>
      </c>
      <c r="D2" s="2">
        <v>26</v>
      </c>
      <c r="E2" s="7">
        <f>SUM(B2:D2)</f>
        <v>104</v>
      </c>
    </row>
    <row r="3" spans="1:5" x14ac:dyDescent="0.25">
      <c r="A3" s="11" t="s">
        <v>6</v>
      </c>
      <c r="B3" s="1">
        <v>23</v>
      </c>
      <c r="C3" s="1">
        <v>44</v>
      </c>
      <c r="D3" s="1">
        <v>30</v>
      </c>
      <c r="E3" s="7">
        <f t="shared" ref="E3:E9" si="0">SUM(B3:D3)</f>
        <v>97</v>
      </c>
    </row>
    <row r="4" spans="1:5" x14ac:dyDescent="0.25">
      <c r="A4" s="11" t="s">
        <v>7</v>
      </c>
      <c r="B4" s="1">
        <v>35</v>
      </c>
      <c r="C4" s="1">
        <v>31</v>
      </c>
      <c r="D4" s="1">
        <v>49</v>
      </c>
      <c r="E4" s="7">
        <f t="shared" si="0"/>
        <v>115</v>
      </c>
    </row>
    <row r="5" spans="1:5" x14ac:dyDescent="0.25">
      <c r="A5" s="11" t="s">
        <v>8</v>
      </c>
      <c r="B5" s="1">
        <v>19</v>
      </c>
      <c r="C5" s="1">
        <v>20</v>
      </c>
      <c r="D5" s="1">
        <v>23</v>
      </c>
      <c r="E5" s="7">
        <f t="shared" si="0"/>
        <v>62</v>
      </c>
    </row>
    <row r="6" spans="1:5" x14ac:dyDescent="0.25">
      <c r="A6" s="11" t="s">
        <v>9</v>
      </c>
      <c r="B6" s="1">
        <v>29</v>
      </c>
      <c r="C6" s="1">
        <v>35</v>
      </c>
      <c r="D6" s="1">
        <v>12</v>
      </c>
      <c r="E6" s="7">
        <f t="shared" si="0"/>
        <v>76</v>
      </c>
    </row>
    <row r="7" spans="1:5" x14ac:dyDescent="0.25">
      <c r="A7" s="11" t="s">
        <v>10</v>
      </c>
      <c r="B7" s="1">
        <v>27</v>
      </c>
      <c r="C7" s="1">
        <v>24</v>
      </c>
      <c r="D7" s="1">
        <v>44</v>
      </c>
      <c r="E7" s="7">
        <f t="shared" si="0"/>
        <v>95</v>
      </c>
    </row>
    <row r="8" spans="1:5" x14ac:dyDescent="0.25">
      <c r="A8" s="11" t="s">
        <v>11</v>
      </c>
      <c r="B8" s="1">
        <v>50</v>
      </c>
      <c r="C8" s="1">
        <v>13</v>
      </c>
      <c r="D8" s="1">
        <v>27</v>
      </c>
      <c r="E8" s="7">
        <f t="shared" si="0"/>
        <v>90</v>
      </c>
    </row>
    <row r="9" spans="1:5" x14ac:dyDescent="0.25">
      <c r="A9" s="3" t="s">
        <v>12</v>
      </c>
      <c r="B9" s="4">
        <f>SUM(B2:B8)</f>
        <v>231</v>
      </c>
      <c r="C9" s="4">
        <f t="shared" ref="C9:D9" si="1">SUM(C2:C8)</f>
        <v>197</v>
      </c>
      <c r="D9" s="4">
        <f t="shared" si="1"/>
        <v>211</v>
      </c>
      <c r="E9" s="7">
        <f t="shared" si="0"/>
        <v>639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A0EA3-AD34-4570-A34F-8EBC36792ED5}">
  <dimension ref="A1:E9"/>
  <sheetViews>
    <sheetView zoomScale="160" zoomScaleNormal="160" workbookViewId="0">
      <selection activeCell="D14" sqref="D14"/>
    </sheetView>
  </sheetViews>
  <sheetFormatPr defaultRowHeight="15" x14ac:dyDescent="0.25"/>
  <cols>
    <col min="1" max="1" width="15.85546875" customWidth="1"/>
    <col min="2" max="2" width="13.7109375" customWidth="1"/>
    <col min="4" max="4" width="14.42578125" customWidth="1"/>
    <col min="5" max="5" width="19.42578125" bestFit="1" customWidth="1"/>
  </cols>
  <sheetData>
    <row r="1" spans="1:5" x14ac:dyDescent="0.25">
      <c r="A1" s="8" t="s">
        <v>0</v>
      </c>
      <c r="B1" s="9" t="s">
        <v>1</v>
      </c>
      <c r="C1" s="9" t="s">
        <v>2</v>
      </c>
      <c r="D1" s="9" t="s">
        <v>3</v>
      </c>
      <c r="E1" s="10" t="s">
        <v>4</v>
      </c>
    </row>
    <row r="2" spans="1:5" x14ac:dyDescent="0.25">
      <c r="A2" s="11" t="s">
        <v>5</v>
      </c>
      <c r="B2" s="2">
        <f ca="1">RANDBETWEEN(40,50)</f>
        <v>43</v>
      </c>
      <c r="C2" s="2">
        <f ca="1">RANDBETWEEN(30,40)</f>
        <v>30</v>
      </c>
      <c r="D2" s="2">
        <f ca="1">RANDBETWEEN(20,30)</f>
        <v>25</v>
      </c>
      <c r="E2" s="7">
        <f ca="1">SUM(B2:D2)</f>
        <v>98</v>
      </c>
    </row>
    <row r="3" spans="1:5" x14ac:dyDescent="0.25">
      <c r="A3" s="11" t="s">
        <v>6</v>
      </c>
      <c r="B3" s="1">
        <f ca="1">RANDBETWEEN(20,30)</f>
        <v>22</v>
      </c>
      <c r="C3" s="1">
        <f ca="1">RANDBETWEEN(40,50)</f>
        <v>45</v>
      </c>
      <c r="D3" s="1">
        <f ca="1">RANDBETWEEN(20,30)</f>
        <v>22</v>
      </c>
      <c r="E3" s="7">
        <f t="shared" ref="E3:E9" ca="1" si="0">SUM(B3:D3)</f>
        <v>89</v>
      </c>
    </row>
    <row r="4" spans="1:5" x14ac:dyDescent="0.25">
      <c r="A4" s="11" t="s">
        <v>7</v>
      </c>
      <c r="B4" s="1">
        <f ca="1">RANDBETWEEN(30,40)</f>
        <v>34</v>
      </c>
      <c r="C4" s="1">
        <f ca="1">RANDBETWEEN(30,40)</f>
        <v>34</v>
      </c>
      <c r="D4" s="1">
        <f ca="1">RANDBETWEEN(40,50)</f>
        <v>40</v>
      </c>
      <c r="E4" s="7">
        <f t="shared" ca="1" si="0"/>
        <v>108</v>
      </c>
    </row>
    <row r="5" spans="1:5" x14ac:dyDescent="0.25">
      <c r="A5" s="11" t="s">
        <v>8</v>
      </c>
      <c r="B5" s="1">
        <f ca="1">RANDBETWEEN(10,20)</f>
        <v>10</v>
      </c>
      <c r="C5" s="1">
        <f ca="1">RANDBETWEEN(20,30)</f>
        <v>24</v>
      </c>
      <c r="D5" s="1">
        <f ca="1">RANDBETWEEN(20,30)</f>
        <v>24</v>
      </c>
      <c r="E5" s="7">
        <f t="shared" ca="1" si="0"/>
        <v>58</v>
      </c>
    </row>
    <row r="6" spans="1:5" x14ac:dyDescent="0.25">
      <c r="A6" s="11" t="s">
        <v>9</v>
      </c>
      <c r="B6" s="1">
        <f ca="1">RANDBETWEEN(25,35)</f>
        <v>26</v>
      </c>
      <c r="C6" s="1">
        <f ca="1">RANDBETWEEN(25,35)</f>
        <v>34</v>
      </c>
      <c r="D6" s="1">
        <f ca="1">RANDBETWEEN(10,15)</f>
        <v>10</v>
      </c>
      <c r="E6" s="7">
        <f t="shared" ca="1" si="0"/>
        <v>70</v>
      </c>
    </row>
    <row r="7" spans="1:5" x14ac:dyDescent="0.25">
      <c r="A7" s="11" t="s">
        <v>10</v>
      </c>
      <c r="B7" s="1">
        <f ca="1">RANDBETWEEN(20,30)</f>
        <v>20</v>
      </c>
      <c r="C7" s="1">
        <f ca="1">RANDBETWEEN(20,30)</f>
        <v>30</v>
      </c>
      <c r="D7" s="1">
        <f ca="1">RANDBETWEEN(35,45)</f>
        <v>37</v>
      </c>
      <c r="E7" s="7">
        <f t="shared" ca="1" si="0"/>
        <v>87</v>
      </c>
    </row>
    <row r="8" spans="1:5" x14ac:dyDescent="0.25">
      <c r="A8" s="11" t="s">
        <v>11</v>
      </c>
      <c r="B8" s="1">
        <f ca="1">RANDBETWEEN(40,50)</f>
        <v>48</v>
      </c>
      <c r="C8" s="1">
        <f ca="1">RANDBETWEEN(10,15)</f>
        <v>10</v>
      </c>
      <c r="D8" s="1">
        <f ca="1">RANDBETWEEN(25,35)</f>
        <v>31</v>
      </c>
      <c r="E8" s="7">
        <f t="shared" ca="1" si="0"/>
        <v>89</v>
      </c>
    </row>
    <row r="9" spans="1:5" x14ac:dyDescent="0.25">
      <c r="A9" s="3" t="s">
        <v>12</v>
      </c>
      <c r="B9" s="4">
        <f ca="1">SUM(B2:B8)</f>
        <v>203</v>
      </c>
      <c r="C9" s="4">
        <f t="shared" ref="C9:D9" ca="1" si="1">SUM(C2:C8)</f>
        <v>207</v>
      </c>
      <c r="D9" s="4">
        <f t="shared" ca="1" si="1"/>
        <v>189</v>
      </c>
      <c r="E9" s="7">
        <f t="shared" ca="1" si="0"/>
        <v>599</v>
      </c>
    </row>
  </sheetData>
  <pageMargins left="0.7" right="0.7" top="0.75" bottom="0.75" header="0.3" footer="0.3"/>
  <ignoredErrors>
    <ignoredError sqref="D4 C3 C6"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2C64CB6A677042B43650EF789CEE5E" ma:contentTypeVersion="18" ma:contentTypeDescription="Create a new document." ma:contentTypeScope="" ma:versionID="9ebda0faf38f46ddcb4d502e16ccc11c">
  <xsd:schema xmlns:xsd="http://www.w3.org/2001/XMLSchema" xmlns:xs="http://www.w3.org/2001/XMLSchema" xmlns:p="http://schemas.microsoft.com/office/2006/metadata/properties" xmlns:ns3="55700998-527b-41f2-899c-78f7b4e9e775" xmlns:ns4="4f948357-9647-417c-9885-9e9896ad7197" targetNamespace="http://schemas.microsoft.com/office/2006/metadata/properties" ma:root="true" ma:fieldsID="66d931d832e7691b85558696d3c7453d" ns3:_="" ns4:_="">
    <xsd:import namespace="55700998-527b-41f2-899c-78f7b4e9e775"/>
    <xsd:import namespace="4f948357-9647-417c-9885-9e9896ad7197"/>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_activity" minOccurs="0"/>
                <xsd:element ref="ns4:SharedWithUsers" minOccurs="0"/>
                <xsd:element ref="ns4:SharedWithDetails" minOccurs="0"/>
                <xsd:element ref="ns4:SharingHintHash"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SystemTags" minOccurs="0"/>
                <xsd:element ref="ns3:MediaServiceSearchProperties"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700998-527b-41f2-899c-78f7b4e9e7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activity" ma:index="12" nillable="true" ma:displayName="_activity" ma:hidden="true" ma:internalName="_activity">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948357-9647-417c-9885-9e9896ad719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55700998-527b-41f2-899c-78f7b4e9e775" xsi:nil="true"/>
  </documentManagement>
</p:properties>
</file>

<file path=customXml/itemProps1.xml><?xml version="1.0" encoding="utf-8"?>
<ds:datastoreItem xmlns:ds="http://schemas.openxmlformats.org/officeDocument/2006/customXml" ds:itemID="{FCCACE8D-7B71-41E9-BA1B-D9A3D6FCFB08}">
  <ds:schemaRefs>
    <ds:schemaRef ds:uri="http://schemas.microsoft.com/sharepoint/v3/contenttype/forms"/>
  </ds:schemaRefs>
</ds:datastoreItem>
</file>

<file path=customXml/itemProps2.xml><?xml version="1.0" encoding="utf-8"?>
<ds:datastoreItem xmlns:ds="http://schemas.openxmlformats.org/officeDocument/2006/customXml" ds:itemID="{C9EFF620-A43B-4647-A1CB-1CFA8C794F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700998-527b-41f2-899c-78f7b4e9e775"/>
    <ds:schemaRef ds:uri="4f948357-9647-417c-9885-9e9896ad71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63FE0C-7921-44C7-A845-7B0073F729E1}">
  <ds:schemaRefs>
    <ds:schemaRef ds:uri="http://purl.org/dc/elements/1.1/"/>
    <ds:schemaRef ds:uri="http://schemas.microsoft.com/office/infopath/2007/PartnerControls"/>
    <ds:schemaRef ds:uri="http://schemas.microsoft.com/office/2006/metadata/properties"/>
    <ds:schemaRef ds:uri="http://purl.org/dc/terms/"/>
    <ds:schemaRef ds:uri="http://schemas.microsoft.com/office/2006/documentManagement/types"/>
    <ds:schemaRef ds:uri="http://schemas.openxmlformats.org/package/2006/metadata/core-properties"/>
    <ds:schemaRef ds:uri="55700998-527b-41f2-899c-78f7b4e9e775"/>
    <ds:schemaRef ds:uri="4f948357-9647-417c-9885-9e9896ad719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Weekly Totals</vt:lpstr>
      <vt:lpstr>Sunday</vt:lpstr>
      <vt:lpstr>Monday</vt:lpstr>
      <vt:lpstr>Tuesday</vt:lpstr>
      <vt:lpstr>Wednesday</vt:lpstr>
      <vt:lpstr>Thursday</vt:lpstr>
      <vt:lpstr>Friday</vt:lpstr>
      <vt:lpstr>Saturday</vt:lpstr>
      <vt:lpstr>Random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 Nyhoff</dc:creator>
  <cp:keywords/>
  <dc:description/>
  <cp:lastModifiedBy>Alejandro De La Torre</cp:lastModifiedBy>
  <cp:revision/>
  <dcterms:created xsi:type="dcterms:W3CDTF">2024-03-04T21:02:59Z</dcterms:created>
  <dcterms:modified xsi:type="dcterms:W3CDTF">2025-10-09T21:58:10Z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0x010100362C64CB6A677042B43650EF789CEE5E</vt:lpwstr>
  </property>
</Properties>
</file>