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7/"/>
    </mc:Choice>
  </mc:AlternateContent>
  <xr:revisionPtr revIDLastSave="0" documentId="8_{65FC4657-48E3-4F55-B43C-3CD24DFD72EC}" xr6:coauthVersionLast="47" xr6:coauthVersionMax="47" xr10:uidLastSave="{00000000-0000-0000-0000-000000000000}"/>
  <bookViews>
    <workbookView xWindow="51360" yWindow="-3960" windowWidth="29040" windowHeight="17640" tabRatio="935" activeTab="9" xr2:uid="{00000000-000D-0000-FFFF-FFFF00000000}"/>
  </bookViews>
  <sheets>
    <sheet name="Basics" sheetId="1" r:id="rId1"/>
    <sheet name="Simple Sort" sheetId="2" r:id="rId2"/>
    <sheet name="Multiple Keys" sheetId="3" r:id="rId3"/>
    <sheet name="AutoFilter" sheetId="4" r:id="rId4"/>
    <sheet name="AutoFilter AND" sheetId="5" r:id="rId5"/>
    <sheet name="Number Filter" sheetId="6" r:id="rId6"/>
    <sheet name="Number Filter AND" sheetId="7" r:id="rId7"/>
    <sheet name="Number Filter OR" sheetId="8" r:id="rId8"/>
    <sheet name="Number Filter Other" sheetId="9" r:id="rId9"/>
    <sheet name="Table" sheetId="10" r:id="rId10"/>
  </sheets>
  <definedNames>
    <definedName name="_xlnm._FilterDatabase" localSheetId="3" hidden="1">AutoFilter!$A$1:$F$51</definedName>
    <definedName name="_xlnm._FilterDatabase" localSheetId="4" hidden="1">'AutoFilter AND'!$A$1:$F$51</definedName>
    <definedName name="_xlnm._FilterDatabase" localSheetId="0" hidden="1">Basics!$A$1:$F$50</definedName>
    <definedName name="_xlnm._FilterDatabase" localSheetId="2" hidden="1">'Multiple Keys'!$A$1:$F$49</definedName>
    <definedName name="_xlnm._FilterDatabase" localSheetId="5" hidden="1">'Number Filter'!$A$1:$F$51</definedName>
    <definedName name="_xlnm._FilterDatabase" localSheetId="6" hidden="1">'Number Filter AND'!$A$1:$F$51</definedName>
    <definedName name="_xlnm._FilterDatabase" localSheetId="7" hidden="1">'Number Filter OR'!$A$1:$F$51</definedName>
    <definedName name="_xlnm._FilterDatabase" localSheetId="8" hidden="1">'Number Filter Other'!$A$1:$F$51</definedName>
    <definedName name="_xlnm._FilterDatabase" localSheetId="1" hidden="1">'Simple Sort'!$A$1:$F$49</definedName>
    <definedName name="_xlnm._FilterDatabase" localSheetId="9" hidden="1">Table!$A$1:$F$1</definedName>
    <definedName name="_xlnm.Criteria" localSheetId="3">AutoFilter!$A$50:$F$52</definedName>
    <definedName name="_xlnm.Criteria" localSheetId="4">'AutoFilter AND'!$A$50:$F$52</definedName>
    <definedName name="_xlnm.Criteria" localSheetId="0">Basics!$A$50:$F$52</definedName>
    <definedName name="_xlnm.Criteria" localSheetId="2">'Multiple Keys'!$A$50:$F$52</definedName>
    <definedName name="_xlnm.Criteria" localSheetId="5">'Number Filter'!$A$50:$F$52</definedName>
    <definedName name="_xlnm.Criteria" localSheetId="6">'Number Filter AND'!$A$50:$F$52</definedName>
    <definedName name="_xlnm.Criteria" localSheetId="7">'Number Filter OR'!$A$50:$F$52</definedName>
    <definedName name="_xlnm.Criteria" localSheetId="8">'Number Filter Other'!$A$50:$F$52</definedName>
    <definedName name="_xlnm.Criteria" localSheetId="1">'Simple Sort'!$A$50:$F$52</definedName>
    <definedName name="_xlnm.Criteria" localSheetId="9">Table!$A$50:$F$53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0" l="1"/>
  <c r="I2" i="9"/>
</calcChain>
</file>

<file path=xl/sharedStrings.xml><?xml version="1.0" encoding="utf-8"?>
<sst xmlns="http://schemas.openxmlformats.org/spreadsheetml/2006/main" count="2072" uniqueCount="145">
  <si>
    <t>Class Level</t>
  </si>
  <si>
    <t>Home State</t>
  </si>
  <si>
    <t>Arkansas</t>
  </si>
  <si>
    <t>Illinois</t>
  </si>
  <si>
    <t>Major</t>
  </si>
  <si>
    <t>Religion</t>
  </si>
  <si>
    <t>Poli Sci</t>
  </si>
  <si>
    <t>New York</t>
  </si>
  <si>
    <t>Speech</t>
  </si>
  <si>
    <t>Rhode Island</t>
  </si>
  <si>
    <t>Undecided</t>
  </si>
  <si>
    <t>California</t>
  </si>
  <si>
    <t>Phys Ed</t>
  </si>
  <si>
    <t>Philosophy</t>
  </si>
  <si>
    <t>Business</t>
  </si>
  <si>
    <t>Washington</t>
  </si>
  <si>
    <t>Psychology</t>
  </si>
  <si>
    <t>English</t>
  </si>
  <si>
    <t>Massachusetts</t>
  </si>
  <si>
    <t>Indiana</t>
  </si>
  <si>
    <t>Agriculture</t>
  </si>
  <si>
    <t>Maine</t>
  </si>
  <si>
    <t>Pre-Med</t>
  </si>
  <si>
    <t>Iowa</t>
  </si>
  <si>
    <t>Pennsylvania</t>
  </si>
  <si>
    <t>GPA</t>
  </si>
  <si>
    <t>Maryland</t>
  </si>
  <si>
    <t>Nursing</t>
  </si>
  <si>
    <t>Communications</t>
  </si>
  <si>
    <t>Education</t>
  </si>
  <si>
    <t>Drama</t>
  </si>
  <si>
    <t>Hawaii</t>
  </si>
  <si>
    <t>Alabama</t>
  </si>
  <si>
    <t>North Carolina</t>
  </si>
  <si>
    <t>Texas</t>
  </si>
  <si>
    <t>Last Name</t>
  </si>
  <si>
    <t>First Name</t>
  </si>
  <si>
    <t>Bania</t>
  </si>
  <si>
    <t>Kenny</t>
  </si>
  <si>
    <t>Benes</t>
  </si>
  <si>
    <t>Elaine</t>
  </si>
  <si>
    <t>Sideshow</t>
  </si>
  <si>
    <t>Bob</t>
  </si>
  <si>
    <t>Bouvier</t>
  </si>
  <si>
    <t>Patty</t>
  </si>
  <si>
    <t>Selma</t>
  </si>
  <si>
    <t>Boyd</t>
  </si>
  <si>
    <t>Woody</t>
  </si>
  <si>
    <t>Brown</t>
  </si>
  <si>
    <t>Charlie</t>
  </si>
  <si>
    <t>Bueller</t>
  </si>
  <si>
    <t>Ferris</t>
  </si>
  <si>
    <t>Burns</t>
  </si>
  <si>
    <t>Frank</t>
  </si>
  <si>
    <t>Bush</t>
  </si>
  <si>
    <t>George</t>
  </si>
  <si>
    <t>Calvin</t>
  </si>
  <si>
    <t>Johnny</t>
  </si>
  <si>
    <t>Chambers</t>
  </si>
  <si>
    <t>Diane</t>
  </si>
  <si>
    <t>Clavin</t>
  </si>
  <si>
    <t>Cliff</t>
  </si>
  <si>
    <t>Clinton</t>
  </si>
  <si>
    <t>William</t>
  </si>
  <si>
    <t>Clown</t>
  </si>
  <si>
    <t>Costanza</t>
  </si>
  <si>
    <t>Crane</t>
  </si>
  <si>
    <t>Frasier</t>
  </si>
  <si>
    <t>Niles</t>
  </si>
  <si>
    <t>Flanders</t>
  </si>
  <si>
    <t>Ned</t>
  </si>
  <si>
    <t>Houlihan</t>
  </si>
  <si>
    <t>Margaret</t>
  </si>
  <si>
    <t>Howe</t>
  </si>
  <si>
    <t>Rebecca</t>
  </si>
  <si>
    <t>Howell</t>
  </si>
  <si>
    <t>Thurston</t>
  </si>
  <si>
    <t>Hunnicutt</t>
  </si>
  <si>
    <t>BJ</t>
  </si>
  <si>
    <t>Keaton</t>
  </si>
  <si>
    <t>Alex</t>
  </si>
  <si>
    <t>Kramer</t>
  </si>
  <si>
    <t>Cosmo</t>
  </si>
  <si>
    <t>Lovejoy</t>
  </si>
  <si>
    <t>Reverend</t>
  </si>
  <si>
    <t>Malone</t>
  </si>
  <si>
    <t>Sam</t>
  </si>
  <si>
    <t>Moon</t>
  </si>
  <si>
    <t>Daphne</t>
  </si>
  <si>
    <t>Mulcahy</t>
  </si>
  <si>
    <t>Francis</t>
  </si>
  <si>
    <t>O'Reilly</t>
  </si>
  <si>
    <t>Walter</t>
  </si>
  <si>
    <t>Peterson</t>
  </si>
  <si>
    <t>Norm</t>
  </si>
  <si>
    <t>Pierce</t>
  </si>
  <si>
    <t>Benjamin</t>
  </si>
  <si>
    <t>Seinfeld</t>
  </si>
  <si>
    <t>Jerry</t>
  </si>
  <si>
    <t>Simpson</t>
  </si>
  <si>
    <t>Bart</t>
  </si>
  <si>
    <t>Homer</t>
  </si>
  <si>
    <t>Lisa</t>
  </si>
  <si>
    <t>Marge</t>
  </si>
  <si>
    <t>Spicoli</t>
  </si>
  <si>
    <t>Jeff</t>
  </si>
  <si>
    <t>Van Pelt</t>
  </si>
  <si>
    <t>Linus</t>
  </si>
  <si>
    <t>Lucy</t>
  </si>
  <si>
    <t>Obama</t>
  </si>
  <si>
    <t>Barack</t>
  </si>
  <si>
    <t>Troll</t>
  </si>
  <si>
    <t>Trin</t>
  </si>
  <si>
    <t>Krusty</t>
  </si>
  <si>
    <t>Maggie</t>
  </si>
  <si>
    <t>Wilson</t>
  </si>
  <si>
    <t>Brian</t>
  </si>
  <si>
    <t>Music</t>
  </si>
  <si>
    <t>Starkey</t>
  </si>
  <si>
    <t>Richard</t>
  </si>
  <si>
    <t>Virginia</t>
  </si>
  <si>
    <t>Gates</t>
  </si>
  <si>
    <t>Computing</t>
  </si>
  <si>
    <t>Jobs</t>
  </si>
  <si>
    <t>Steven</t>
  </si>
  <si>
    <t>Zuckerberg</t>
  </si>
  <si>
    <t>Mark</t>
  </si>
  <si>
    <t>Kay</t>
  </si>
  <si>
    <t>Alan</t>
  </si>
  <si>
    <t>De La Torre</t>
  </si>
  <si>
    <t>Alejandro</t>
  </si>
  <si>
    <t>Economics</t>
  </si>
  <si>
    <t>*sorted based on class level (largest to smallest), home state (A-Z), and GPA (largest to smallest).</t>
  </si>
  <si>
    <t>Shortcut for custom sort: alt +  h + s + u</t>
  </si>
  <si>
    <t>Economic</t>
  </si>
  <si>
    <t>*Filtered for California Juniors</t>
  </si>
  <si>
    <t>*Filtered for California Sophmores</t>
  </si>
  <si>
    <t>*Filtered for gpas greater than 2.5</t>
  </si>
  <si>
    <t>*Filtered for GPA greater than or equal to 3.00 and less than 4.00</t>
  </si>
  <si>
    <t>*Filtered for those with a GPA less than 2.00 OR greater than or equal to 4.00</t>
  </si>
  <si>
    <t>*Sorted from largest to smallest</t>
  </si>
  <si>
    <t>*filtered for top 50%</t>
  </si>
  <si>
    <t>Average GPA</t>
  </si>
  <si>
    <t>Total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</si>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</sst>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61"/>
      <name val="Arial"/>
      <family val="2"/>
    </font>
    <font>
      <sz val="10"/>
      <color rgb="FFED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1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5DC7C-A492-4856-BF38-CA60DF996D02}" name="Table1" displayName="Table1" ref="A1:F52" totalsRowCount="1" headerRowDxfId="4" dataDxfId="5" headerRowBorderDxfId="10" tableBorderDxfId="11">
  <autoFilter ref="A1:F51" xr:uid="{5A45DC7C-A492-4856-BF38-CA60DF996D02}"/>
  <tableColumns count="6">
    <tableColumn id="1" xr3:uid="{03998A3E-B9E8-420E-AB9E-94B8ED3058C9}" name="Last Name" totalsRowLabel="Total"/>
    <tableColumn id="2" xr3:uid="{EE424099-AD3D-4BAF-9AC4-637FCC92B21C}" name="First Name"/>
    <tableColumn id="3" xr3:uid="{B6B6DF31-112B-47EB-A0FE-5799C90E6DA1}" name="Class Level" dataDxfId="9" totalsRowDxfId="3"/>
    <tableColumn id="4" xr3:uid="{C9FC1368-5CF3-422E-B236-59DD153F6A79}" name="Home State" dataDxfId="8" totalsRowDxfId="2"/>
    <tableColumn id="5" xr3:uid="{A6B372BB-D20F-433C-B542-2859FFBD07D2}" name="Major" totalsRowLabel="Average:" dataDxfId="7" totalsRowDxfId="1"/>
    <tableColumn id="6" xr3:uid="{48DEDECB-04D0-4A05-8711-914C25BC84ED}" name="GPA" totalsRowFunction="average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145" zoomScaleNormal="145" workbookViewId="0">
      <pane ySplit="1" topLeftCell="A21" activePane="bottomLeft" state="frozen"/>
      <selection pane="bottomLeft" activeCell="A51" sqref="A51:F51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6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6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6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</row>
    <row r="4" spans="1:6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6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6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6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6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6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6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6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6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6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6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6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6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6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6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6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6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6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6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</row>
    <row r="26" spans="1:6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6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6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6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6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x14ac:dyDescent="0.2">
      <c r="A51" t="s">
        <v>129</v>
      </c>
      <c r="B51" t="s">
        <v>130</v>
      </c>
      <c r="C51" s="1">
        <v>4</v>
      </c>
      <c r="D51" s="1" t="s">
        <v>11</v>
      </c>
      <c r="E51" s="1" t="s">
        <v>131</v>
      </c>
      <c r="F51" s="3">
        <v>3.34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zoomScale="145" zoomScaleNormal="145" workbookViewId="0">
      <selection activeCell="B33" sqref="B33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6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6" x14ac:dyDescent="0.2">
      <c r="A2" t="s">
        <v>62</v>
      </c>
      <c r="B2" t="s">
        <v>63</v>
      </c>
      <c r="C2" s="1">
        <v>4</v>
      </c>
      <c r="D2" s="1" t="s">
        <v>2</v>
      </c>
      <c r="E2" s="1" t="s">
        <v>6</v>
      </c>
      <c r="F2" s="3">
        <v>3</v>
      </c>
    </row>
    <row r="3" spans="1:6" x14ac:dyDescent="0.2">
      <c r="A3" t="s">
        <v>41</v>
      </c>
      <c r="B3" t="s">
        <v>42</v>
      </c>
      <c r="C3" s="1">
        <v>4</v>
      </c>
      <c r="D3" s="1" t="s">
        <v>11</v>
      </c>
      <c r="E3" s="1" t="s">
        <v>30</v>
      </c>
      <c r="F3" s="3">
        <v>4</v>
      </c>
    </row>
    <row r="4" spans="1:6" x14ac:dyDescent="0.2">
      <c r="A4" t="s">
        <v>48</v>
      </c>
      <c r="B4" t="s">
        <v>49</v>
      </c>
      <c r="C4" s="1">
        <v>4</v>
      </c>
      <c r="D4" s="1" t="s">
        <v>11</v>
      </c>
      <c r="E4" s="1" t="s">
        <v>10</v>
      </c>
      <c r="F4" s="3">
        <v>3</v>
      </c>
    </row>
    <row r="5" spans="1:6" x14ac:dyDescent="0.2">
      <c r="A5" t="s">
        <v>79</v>
      </c>
      <c r="B5" t="s">
        <v>80</v>
      </c>
      <c r="C5" s="1">
        <v>4</v>
      </c>
      <c r="D5" s="1" t="s">
        <v>11</v>
      </c>
      <c r="E5" s="1" t="s">
        <v>14</v>
      </c>
      <c r="F5" s="3">
        <v>4</v>
      </c>
    </row>
    <row r="6" spans="1:6" x14ac:dyDescent="0.2">
      <c r="A6" t="s">
        <v>106</v>
      </c>
      <c r="B6" t="s">
        <v>108</v>
      </c>
      <c r="C6" s="1">
        <v>4</v>
      </c>
      <c r="D6" s="1" t="s">
        <v>11</v>
      </c>
      <c r="E6" s="1" t="s">
        <v>16</v>
      </c>
      <c r="F6" s="3">
        <v>2.8</v>
      </c>
    </row>
    <row r="7" spans="1:6" x14ac:dyDescent="0.2">
      <c r="A7" t="s">
        <v>129</v>
      </c>
      <c r="B7" t="s">
        <v>130</v>
      </c>
      <c r="C7" s="1">
        <v>4</v>
      </c>
      <c r="D7" s="1" t="s">
        <v>11</v>
      </c>
      <c r="E7" s="1" t="s">
        <v>131</v>
      </c>
      <c r="F7" s="3">
        <v>3.34</v>
      </c>
    </row>
    <row r="8" spans="1:6" x14ac:dyDescent="0.2">
      <c r="A8" t="s">
        <v>50</v>
      </c>
      <c r="B8" t="s">
        <v>51</v>
      </c>
      <c r="C8" s="1">
        <v>4</v>
      </c>
      <c r="D8" s="1" t="s">
        <v>3</v>
      </c>
      <c r="E8" s="1" t="s">
        <v>10</v>
      </c>
      <c r="F8" s="3">
        <v>4</v>
      </c>
    </row>
    <row r="9" spans="1:6" x14ac:dyDescent="0.2">
      <c r="A9" t="s">
        <v>109</v>
      </c>
      <c r="B9" t="s">
        <v>110</v>
      </c>
      <c r="C9" s="1">
        <v>4</v>
      </c>
      <c r="D9" s="1" t="s">
        <v>3</v>
      </c>
      <c r="E9" s="1" t="s">
        <v>6</v>
      </c>
      <c r="F9" s="3">
        <v>3</v>
      </c>
    </row>
    <row r="10" spans="1:6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6" x14ac:dyDescent="0.2">
      <c r="A11" t="s">
        <v>95</v>
      </c>
      <c r="B11" t="s">
        <v>96</v>
      </c>
      <c r="C11" s="1">
        <v>4</v>
      </c>
      <c r="D11" s="1" t="s">
        <v>21</v>
      </c>
      <c r="E11" s="1" t="s">
        <v>22</v>
      </c>
      <c r="F11" s="3">
        <v>3.9</v>
      </c>
    </row>
    <row r="12" spans="1:6" x14ac:dyDescent="0.2">
      <c r="A12" t="s">
        <v>58</v>
      </c>
      <c r="B12" t="s">
        <v>59</v>
      </c>
      <c r="C12" s="1">
        <v>4</v>
      </c>
      <c r="D12" s="1" t="s">
        <v>18</v>
      </c>
      <c r="E12" s="1" t="s">
        <v>17</v>
      </c>
      <c r="F12" s="3">
        <v>3.99</v>
      </c>
    </row>
    <row r="13" spans="1:6" x14ac:dyDescent="0.2">
      <c r="A13" t="s">
        <v>127</v>
      </c>
      <c r="B13" t="s">
        <v>128</v>
      </c>
      <c r="C13" s="1">
        <v>4</v>
      </c>
      <c r="D13" s="1" t="s">
        <v>18</v>
      </c>
      <c r="E13" s="1" t="s">
        <v>122</v>
      </c>
      <c r="F13" s="3">
        <v>4</v>
      </c>
    </row>
    <row r="14" spans="1:6" x14ac:dyDescent="0.2">
      <c r="A14" t="s">
        <v>83</v>
      </c>
      <c r="B14" t="s">
        <v>84</v>
      </c>
      <c r="C14" s="1">
        <v>4</v>
      </c>
      <c r="D14" s="1" t="s">
        <v>33</v>
      </c>
      <c r="E14" s="1" t="s">
        <v>5</v>
      </c>
      <c r="F14" s="3">
        <v>2.9</v>
      </c>
    </row>
    <row r="15" spans="1:6" x14ac:dyDescent="0.2">
      <c r="A15" t="s">
        <v>89</v>
      </c>
      <c r="B15" t="s">
        <v>90</v>
      </c>
      <c r="C15" s="1">
        <v>4</v>
      </c>
      <c r="D15" s="1" t="s">
        <v>24</v>
      </c>
      <c r="E15" s="1" t="s">
        <v>5</v>
      </c>
      <c r="F15" s="3">
        <v>3.2</v>
      </c>
    </row>
    <row r="16" spans="1:6" x14ac:dyDescent="0.2">
      <c r="A16" t="s">
        <v>99</v>
      </c>
      <c r="B16" t="s">
        <v>102</v>
      </c>
      <c r="C16" s="1">
        <v>4</v>
      </c>
      <c r="D16" s="1" t="s">
        <v>9</v>
      </c>
      <c r="E16" s="1" t="s">
        <v>8</v>
      </c>
      <c r="F16" s="3">
        <v>4</v>
      </c>
    </row>
    <row r="17" spans="1:6" x14ac:dyDescent="0.2">
      <c r="A17" t="s">
        <v>54</v>
      </c>
      <c r="B17" t="s">
        <v>55</v>
      </c>
      <c r="C17" s="1">
        <v>4</v>
      </c>
      <c r="D17" s="1" t="s">
        <v>34</v>
      </c>
      <c r="E17" s="1" t="s">
        <v>6</v>
      </c>
      <c r="F17" s="3">
        <v>3</v>
      </c>
    </row>
    <row r="18" spans="1:6" x14ac:dyDescent="0.2">
      <c r="A18" t="s">
        <v>118</v>
      </c>
      <c r="B18" t="s">
        <v>119</v>
      </c>
      <c r="C18" s="1">
        <v>4</v>
      </c>
      <c r="D18" s="1" t="s">
        <v>120</v>
      </c>
      <c r="E18" s="1" t="s">
        <v>117</v>
      </c>
      <c r="F18" s="3">
        <v>3.5</v>
      </c>
    </row>
    <row r="19" spans="1:6" x14ac:dyDescent="0.2">
      <c r="A19" t="s">
        <v>66</v>
      </c>
      <c r="B19" t="s">
        <v>67</v>
      </c>
      <c r="C19" s="1">
        <v>4</v>
      </c>
      <c r="D19" s="1" t="s">
        <v>15</v>
      </c>
      <c r="E19" s="1" t="s">
        <v>16</v>
      </c>
      <c r="F19" s="3">
        <v>3.52</v>
      </c>
    </row>
    <row r="20" spans="1:6" x14ac:dyDescent="0.2">
      <c r="A20" t="s">
        <v>66</v>
      </c>
      <c r="B20" t="s">
        <v>68</v>
      </c>
      <c r="C20" s="1">
        <v>4</v>
      </c>
      <c r="D20" s="1" t="s">
        <v>15</v>
      </c>
      <c r="E20" s="1" t="s">
        <v>16</v>
      </c>
      <c r="F20" s="3">
        <v>3.51</v>
      </c>
    </row>
    <row r="21" spans="1:6" x14ac:dyDescent="0.2">
      <c r="A21" t="s">
        <v>69</v>
      </c>
      <c r="B21" t="s">
        <v>70</v>
      </c>
      <c r="C21" s="1">
        <v>3</v>
      </c>
      <c r="D21" s="1" t="s">
        <v>32</v>
      </c>
      <c r="E21" s="1" t="s">
        <v>5</v>
      </c>
      <c r="F21" s="3">
        <v>2.8</v>
      </c>
    </row>
    <row r="22" spans="1:6" x14ac:dyDescent="0.2">
      <c r="A22" t="s">
        <v>77</v>
      </c>
      <c r="B22" t="s">
        <v>78</v>
      </c>
      <c r="C22" s="1">
        <v>3</v>
      </c>
      <c r="D22" s="1" t="s">
        <v>11</v>
      </c>
      <c r="E22" s="1" t="s">
        <v>22</v>
      </c>
      <c r="F22" s="3">
        <v>3.8</v>
      </c>
    </row>
    <row r="23" spans="1:6" x14ac:dyDescent="0.2">
      <c r="A23" t="s">
        <v>75</v>
      </c>
      <c r="B23" t="s">
        <v>76</v>
      </c>
      <c r="C23" s="1">
        <v>3</v>
      </c>
      <c r="D23" s="1" t="s">
        <v>31</v>
      </c>
      <c r="E23" s="1" t="s">
        <v>14</v>
      </c>
      <c r="F23" s="3">
        <v>2.5</v>
      </c>
    </row>
    <row r="24" spans="1:6" x14ac:dyDescent="0.2">
      <c r="A24" t="s">
        <v>91</v>
      </c>
      <c r="B24" t="s">
        <v>92</v>
      </c>
      <c r="C24" s="1">
        <v>3</v>
      </c>
      <c r="D24" s="1" t="s">
        <v>23</v>
      </c>
      <c r="E24" s="1" t="s">
        <v>20</v>
      </c>
      <c r="F24" s="3">
        <v>2.2000000000000002</v>
      </c>
    </row>
    <row r="25" spans="1:6" x14ac:dyDescent="0.2">
      <c r="A25" t="s">
        <v>73</v>
      </c>
      <c r="B25" t="s">
        <v>74</v>
      </c>
      <c r="C25" s="1">
        <v>3</v>
      </c>
      <c r="D25" s="1" t="s">
        <v>18</v>
      </c>
      <c r="E25" s="1" t="s">
        <v>14</v>
      </c>
      <c r="F25" s="3">
        <v>3.98</v>
      </c>
    </row>
    <row r="26" spans="1:6" x14ac:dyDescent="0.2">
      <c r="A26" t="s">
        <v>85</v>
      </c>
      <c r="B26" t="s">
        <v>86</v>
      </c>
      <c r="C26" s="1">
        <v>3</v>
      </c>
      <c r="D26" s="1" t="s">
        <v>18</v>
      </c>
      <c r="E26" s="1" t="s">
        <v>12</v>
      </c>
      <c r="F26" s="3">
        <v>2.2000000000000002</v>
      </c>
    </row>
    <row r="27" spans="1:6" x14ac:dyDescent="0.2">
      <c r="A27" t="s">
        <v>39</v>
      </c>
      <c r="B27" t="s">
        <v>40</v>
      </c>
      <c r="C27" s="1">
        <v>3</v>
      </c>
      <c r="D27" s="1" t="s">
        <v>7</v>
      </c>
      <c r="E27" s="1" t="s">
        <v>14</v>
      </c>
      <c r="F27" s="3">
        <v>3.3</v>
      </c>
    </row>
    <row r="28" spans="1:6" x14ac:dyDescent="0.2">
      <c r="A28" t="s">
        <v>97</v>
      </c>
      <c r="B28" t="s">
        <v>98</v>
      </c>
      <c r="C28" s="1">
        <v>3</v>
      </c>
      <c r="D28" s="1" t="s">
        <v>7</v>
      </c>
      <c r="E28" s="1" t="s">
        <v>8</v>
      </c>
      <c r="F28" s="3">
        <v>2.8</v>
      </c>
    </row>
    <row r="29" spans="1:6" x14ac:dyDescent="0.2">
      <c r="A29" t="s">
        <v>99</v>
      </c>
      <c r="B29" t="s">
        <v>101</v>
      </c>
      <c r="C29" s="1">
        <v>3</v>
      </c>
      <c r="D29" s="1" t="s">
        <v>9</v>
      </c>
      <c r="E29" s="1" t="s">
        <v>12</v>
      </c>
      <c r="F29" s="3">
        <v>1.3</v>
      </c>
    </row>
    <row r="30" spans="1:6" x14ac:dyDescent="0.2">
      <c r="A30" t="s">
        <v>99</v>
      </c>
      <c r="B30" t="s">
        <v>114</v>
      </c>
      <c r="C30" s="1">
        <v>3</v>
      </c>
      <c r="D30" s="1" t="s">
        <v>9</v>
      </c>
      <c r="E30" s="1" t="s">
        <v>29</v>
      </c>
      <c r="F30" s="3">
        <v>3.5</v>
      </c>
    </row>
    <row r="31" spans="1:6" x14ac:dyDescent="0.2">
      <c r="A31" t="s">
        <v>99</v>
      </c>
      <c r="B31" t="s">
        <v>103</v>
      </c>
      <c r="C31" s="1">
        <v>3</v>
      </c>
      <c r="D31" s="1" t="s">
        <v>9</v>
      </c>
      <c r="E31" s="1" t="s">
        <v>27</v>
      </c>
      <c r="F31" s="3">
        <v>3.3</v>
      </c>
    </row>
    <row r="32" spans="1:6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43</v>
      </c>
      <c r="B33" t="s">
        <v>44</v>
      </c>
      <c r="C33" s="1">
        <v>2</v>
      </c>
      <c r="D33" s="1" t="s">
        <v>11</v>
      </c>
      <c r="E33" s="1" t="s">
        <v>8</v>
      </c>
      <c r="F33" s="3">
        <v>2.2200000000000002</v>
      </c>
    </row>
    <row r="34" spans="1:6" x14ac:dyDescent="0.2">
      <c r="A34" t="s">
        <v>43</v>
      </c>
      <c r="B34" t="s">
        <v>45</v>
      </c>
      <c r="C34" s="1">
        <v>2</v>
      </c>
      <c r="D34" s="1" t="s">
        <v>11</v>
      </c>
      <c r="E34" s="1" t="s">
        <v>8</v>
      </c>
      <c r="F34" s="3">
        <v>2.2200000000000002</v>
      </c>
    </row>
    <row r="35" spans="1:6" x14ac:dyDescent="0.2">
      <c r="A35" t="s">
        <v>64</v>
      </c>
      <c r="B35" t="s">
        <v>113</v>
      </c>
      <c r="C35" s="1">
        <v>2</v>
      </c>
      <c r="D35" s="1" t="s">
        <v>11</v>
      </c>
      <c r="E35" s="1" t="s">
        <v>30</v>
      </c>
      <c r="F35" s="3">
        <v>1.9</v>
      </c>
    </row>
    <row r="36" spans="1:6" x14ac:dyDescent="0.2">
      <c r="A36" t="s">
        <v>123</v>
      </c>
      <c r="B36" t="s">
        <v>124</v>
      </c>
      <c r="C36" s="1">
        <v>2</v>
      </c>
      <c r="D36" s="1" t="s">
        <v>11</v>
      </c>
      <c r="E36" s="1" t="s">
        <v>122</v>
      </c>
      <c r="F36" s="3">
        <v>3</v>
      </c>
    </row>
    <row r="37" spans="1:6" x14ac:dyDescent="0.2">
      <c r="A37" t="s">
        <v>56</v>
      </c>
      <c r="B37" t="s">
        <v>57</v>
      </c>
      <c r="C37" s="1">
        <v>2</v>
      </c>
      <c r="D37" s="1" t="s">
        <v>3</v>
      </c>
      <c r="E37" s="1" t="s">
        <v>5</v>
      </c>
      <c r="F37" s="3">
        <v>4</v>
      </c>
    </row>
    <row r="38" spans="1:6" x14ac:dyDescent="0.2">
      <c r="A38" t="s">
        <v>111</v>
      </c>
      <c r="B38" t="s">
        <v>112</v>
      </c>
      <c r="C38" s="1">
        <v>2</v>
      </c>
      <c r="D38" s="1" t="s">
        <v>3</v>
      </c>
      <c r="E38" s="1" t="s">
        <v>12</v>
      </c>
      <c r="F38" s="3">
        <v>4</v>
      </c>
    </row>
    <row r="39" spans="1:6" x14ac:dyDescent="0.2">
      <c r="A39" t="s">
        <v>46</v>
      </c>
      <c r="B39" t="s">
        <v>47</v>
      </c>
      <c r="C39" s="1">
        <v>2</v>
      </c>
      <c r="D39" s="1" t="s">
        <v>19</v>
      </c>
      <c r="E39" s="1" t="s">
        <v>20</v>
      </c>
      <c r="F39" s="3">
        <v>2.2000000000000002</v>
      </c>
    </row>
    <row r="40" spans="1:6" x14ac:dyDescent="0.2">
      <c r="A40" t="s">
        <v>71</v>
      </c>
      <c r="B40" t="s">
        <v>72</v>
      </c>
      <c r="C40" s="1">
        <v>2</v>
      </c>
      <c r="D40" s="1" t="s">
        <v>26</v>
      </c>
      <c r="E40" s="1" t="s">
        <v>27</v>
      </c>
      <c r="F40" s="3">
        <v>3.5</v>
      </c>
    </row>
    <row r="41" spans="1:6" x14ac:dyDescent="0.2">
      <c r="A41" t="s">
        <v>60</v>
      </c>
      <c r="B41" t="s">
        <v>61</v>
      </c>
      <c r="C41" s="1">
        <v>2</v>
      </c>
      <c r="D41" s="1" t="s">
        <v>18</v>
      </c>
      <c r="E41" s="1" t="s">
        <v>13</v>
      </c>
      <c r="F41" s="3">
        <v>1</v>
      </c>
    </row>
    <row r="42" spans="1:6" x14ac:dyDescent="0.2">
      <c r="A42" t="s">
        <v>93</v>
      </c>
      <c r="B42" t="s">
        <v>94</v>
      </c>
      <c r="C42" s="1">
        <v>2</v>
      </c>
      <c r="D42" s="1" t="s">
        <v>18</v>
      </c>
      <c r="E42" s="1" t="s">
        <v>14</v>
      </c>
      <c r="F42" s="3">
        <v>1.5</v>
      </c>
    </row>
    <row r="43" spans="1:6" x14ac:dyDescent="0.2">
      <c r="A43" t="s">
        <v>65</v>
      </c>
      <c r="B43" t="s">
        <v>55</v>
      </c>
      <c r="C43" s="1">
        <v>2</v>
      </c>
      <c r="D43" s="1" t="s">
        <v>7</v>
      </c>
      <c r="E43" s="1" t="s">
        <v>10</v>
      </c>
      <c r="F43" s="3">
        <v>2.0099999999999998</v>
      </c>
    </row>
    <row r="44" spans="1:6" x14ac:dyDescent="0.2">
      <c r="A44" t="s">
        <v>81</v>
      </c>
      <c r="B44" t="s">
        <v>82</v>
      </c>
      <c r="C44" s="1">
        <v>2</v>
      </c>
      <c r="D44" s="1" t="s">
        <v>7</v>
      </c>
      <c r="E44" s="1" t="s">
        <v>13</v>
      </c>
      <c r="F44" s="3">
        <v>1.1000000000000001</v>
      </c>
    </row>
    <row r="45" spans="1:6" x14ac:dyDescent="0.2">
      <c r="A45" t="s">
        <v>125</v>
      </c>
      <c r="B45" t="s">
        <v>126</v>
      </c>
      <c r="C45" s="1">
        <v>2</v>
      </c>
      <c r="D45" s="1" t="s">
        <v>7</v>
      </c>
      <c r="E45" s="1" t="s">
        <v>122</v>
      </c>
      <c r="F45" s="3">
        <v>3</v>
      </c>
    </row>
    <row r="46" spans="1:6" x14ac:dyDescent="0.2">
      <c r="A46" t="s">
        <v>104</v>
      </c>
      <c r="B46" t="s">
        <v>105</v>
      </c>
      <c r="C46" s="1">
        <v>1</v>
      </c>
      <c r="D46" s="1" t="s">
        <v>11</v>
      </c>
      <c r="E46" s="1" t="s">
        <v>12</v>
      </c>
      <c r="F46" s="3">
        <v>0.25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x14ac:dyDescent="0.2">
      <c r="A48" t="s">
        <v>115</v>
      </c>
      <c r="B48" t="s">
        <v>116</v>
      </c>
      <c r="C48" s="1">
        <v>1</v>
      </c>
      <c r="D48" s="1" t="s">
        <v>11</v>
      </c>
      <c r="E48" s="1" t="s">
        <v>117</v>
      </c>
      <c r="F48" s="3">
        <v>4</v>
      </c>
    </row>
    <row r="49" spans="1:6" x14ac:dyDescent="0.2">
      <c r="A49" t="s">
        <v>37</v>
      </c>
      <c r="B49" t="s">
        <v>38</v>
      </c>
      <c r="C49" s="1">
        <v>1</v>
      </c>
      <c r="D49" s="1" t="s">
        <v>7</v>
      </c>
      <c r="E49" s="1" t="s">
        <v>28</v>
      </c>
      <c r="F49" s="3">
        <v>1.2</v>
      </c>
    </row>
    <row r="50" spans="1:6" x14ac:dyDescent="0.2">
      <c r="A50" t="s">
        <v>99</v>
      </c>
      <c r="B50" t="s">
        <v>100</v>
      </c>
      <c r="C50" s="1">
        <v>1</v>
      </c>
      <c r="D50" s="1" t="s">
        <v>9</v>
      </c>
      <c r="E50" s="1" t="s">
        <v>10</v>
      </c>
      <c r="F50" s="3">
        <v>1</v>
      </c>
    </row>
    <row r="51" spans="1:6" x14ac:dyDescent="0.2">
      <c r="A51" t="s">
        <v>121</v>
      </c>
      <c r="B51" t="s">
        <v>63</v>
      </c>
      <c r="C51" s="1">
        <v>1</v>
      </c>
      <c r="D51" s="1" t="s">
        <v>15</v>
      </c>
      <c r="E51" s="1" t="s">
        <v>122</v>
      </c>
      <c r="F51" s="3">
        <v>3</v>
      </c>
    </row>
  </sheetData>
  <sortState xmlns:xlrd2="http://schemas.microsoft.com/office/spreadsheetml/2017/richdata2" ref="A2:F51">
    <sortCondition descending="1" ref="C2:C5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zoomScale="145" zoomScaleNormal="145" workbookViewId="0">
      <pane ySplit="1" topLeftCell="A2" activePane="bottomLeft" state="frozen"/>
      <selection pane="bottomLeft" activeCell="A5" sqref="A5:F5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8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8" x14ac:dyDescent="0.2">
      <c r="A2" t="s">
        <v>62</v>
      </c>
      <c r="B2" t="s">
        <v>63</v>
      </c>
      <c r="C2" s="1">
        <v>4</v>
      </c>
      <c r="D2" s="1" t="s">
        <v>2</v>
      </c>
      <c r="E2" s="1" t="s">
        <v>6</v>
      </c>
      <c r="F2" s="3">
        <v>3</v>
      </c>
    </row>
    <row r="3" spans="1:8" x14ac:dyDescent="0.2">
      <c r="A3" t="s">
        <v>41</v>
      </c>
      <c r="B3" t="s">
        <v>42</v>
      </c>
      <c r="C3" s="1">
        <v>4</v>
      </c>
      <c r="D3" s="1" t="s">
        <v>11</v>
      </c>
      <c r="E3" s="1" t="s">
        <v>30</v>
      </c>
      <c r="F3" s="3">
        <v>4</v>
      </c>
      <c r="H3" s="5" t="s">
        <v>132</v>
      </c>
    </row>
    <row r="4" spans="1:8" x14ac:dyDescent="0.2">
      <c r="A4" t="s">
        <v>79</v>
      </c>
      <c r="B4" t="s">
        <v>80</v>
      </c>
      <c r="C4" s="1">
        <v>4</v>
      </c>
      <c r="D4" s="1" t="s">
        <v>11</v>
      </c>
      <c r="E4" s="1" t="s">
        <v>14</v>
      </c>
      <c r="F4" s="3">
        <v>4</v>
      </c>
      <c r="H4" s="5" t="s">
        <v>133</v>
      </c>
    </row>
    <row r="5" spans="1:8" x14ac:dyDescent="0.2">
      <c r="A5" t="s">
        <v>129</v>
      </c>
      <c r="B5" t="s">
        <v>130</v>
      </c>
      <c r="C5" s="1">
        <v>4</v>
      </c>
      <c r="D5" s="1" t="s">
        <v>11</v>
      </c>
      <c r="E5" s="1" t="s">
        <v>131</v>
      </c>
      <c r="F5" s="3">
        <v>3.34</v>
      </c>
    </row>
    <row r="6" spans="1:8" x14ac:dyDescent="0.2">
      <c r="A6" t="s">
        <v>48</v>
      </c>
      <c r="B6" t="s">
        <v>49</v>
      </c>
      <c r="C6" s="1">
        <v>4</v>
      </c>
      <c r="D6" s="1" t="s">
        <v>11</v>
      </c>
      <c r="E6" s="1" t="s">
        <v>10</v>
      </c>
      <c r="F6" s="3">
        <v>3</v>
      </c>
    </row>
    <row r="7" spans="1:8" x14ac:dyDescent="0.2">
      <c r="A7" t="s">
        <v>106</v>
      </c>
      <c r="B7" t="s">
        <v>108</v>
      </c>
      <c r="C7" s="1">
        <v>4</v>
      </c>
      <c r="D7" s="1" t="s">
        <v>11</v>
      </c>
      <c r="E7" s="1" t="s">
        <v>16</v>
      </c>
      <c r="F7" s="3">
        <v>2.8</v>
      </c>
    </row>
    <row r="8" spans="1:8" x14ac:dyDescent="0.2">
      <c r="A8" t="s">
        <v>50</v>
      </c>
      <c r="B8" t="s">
        <v>51</v>
      </c>
      <c r="C8" s="1">
        <v>4</v>
      </c>
      <c r="D8" s="1" t="s">
        <v>3</v>
      </c>
      <c r="E8" s="1" t="s">
        <v>10</v>
      </c>
      <c r="F8" s="3">
        <v>4</v>
      </c>
    </row>
    <row r="9" spans="1:8" x14ac:dyDescent="0.2">
      <c r="A9" t="s">
        <v>109</v>
      </c>
      <c r="B9" t="s">
        <v>110</v>
      </c>
      <c r="C9" s="1">
        <v>4</v>
      </c>
      <c r="D9" s="1" t="s">
        <v>3</v>
      </c>
      <c r="E9" s="1" t="s">
        <v>6</v>
      </c>
      <c r="F9" s="3">
        <v>3</v>
      </c>
    </row>
    <row r="10" spans="1:8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8" x14ac:dyDescent="0.2">
      <c r="A11" t="s">
        <v>95</v>
      </c>
      <c r="B11" t="s">
        <v>96</v>
      </c>
      <c r="C11" s="1">
        <v>4</v>
      </c>
      <c r="D11" s="1" t="s">
        <v>21</v>
      </c>
      <c r="E11" s="1" t="s">
        <v>22</v>
      </c>
      <c r="F11" s="3">
        <v>3.9</v>
      </c>
    </row>
    <row r="12" spans="1:8" x14ac:dyDescent="0.2">
      <c r="A12" t="s">
        <v>127</v>
      </c>
      <c r="B12" t="s">
        <v>128</v>
      </c>
      <c r="C12" s="1">
        <v>4</v>
      </c>
      <c r="D12" s="1" t="s">
        <v>18</v>
      </c>
      <c r="E12" s="1" t="s">
        <v>122</v>
      </c>
      <c r="F12" s="3">
        <v>4</v>
      </c>
    </row>
    <row r="13" spans="1:8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8" x14ac:dyDescent="0.2">
      <c r="A14" t="s">
        <v>83</v>
      </c>
      <c r="B14" t="s">
        <v>84</v>
      </c>
      <c r="C14" s="1">
        <v>4</v>
      </c>
      <c r="D14" s="1" t="s">
        <v>33</v>
      </c>
      <c r="E14" s="1" t="s">
        <v>5</v>
      </c>
      <c r="F14" s="3">
        <v>2.9</v>
      </c>
    </row>
    <row r="15" spans="1:8" x14ac:dyDescent="0.2">
      <c r="A15" t="s">
        <v>89</v>
      </c>
      <c r="B15" t="s">
        <v>90</v>
      </c>
      <c r="C15" s="1">
        <v>4</v>
      </c>
      <c r="D15" s="1" t="s">
        <v>24</v>
      </c>
      <c r="E15" s="1" t="s">
        <v>5</v>
      </c>
      <c r="F15" s="3">
        <v>3.2</v>
      </c>
    </row>
    <row r="16" spans="1:8" x14ac:dyDescent="0.2">
      <c r="A16" t="s">
        <v>99</v>
      </c>
      <c r="B16" t="s">
        <v>102</v>
      </c>
      <c r="C16" s="1">
        <v>4</v>
      </c>
      <c r="D16" s="1" t="s">
        <v>9</v>
      </c>
      <c r="E16" s="1" t="s">
        <v>8</v>
      </c>
      <c r="F16" s="3">
        <v>4</v>
      </c>
    </row>
    <row r="17" spans="1:6" x14ac:dyDescent="0.2">
      <c r="A17" t="s">
        <v>54</v>
      </c>
      <c r="B17" t="s">
        <v>55</v>
      </c>
      <c r="C17" s="1">
        <v>4</v>
      </c>
      <c r="D17" s="1" t="s">
        <v>34</v>
      </c>
      <c r="E17" s="1" t="s">
        <v>6</v>
      </c>
      <c r="F17" s="3">
        <v>3</v>
      </c>
    </row>
    <row r="18" spans="1:6" x14ac:dyDescent="0.2">
      <c r="A18" t="s">
        <v>118</v>
      </c>
      <c r="B18" t="s">
        <v>119</v>
      </c>
      <c r="C18" s="1">
        <v>4</v>
      </c>
      <c r="D18" s="1" t="s">
        <v>120</v>
      </c>
      <c r="E18" s="1" t="s">
        <v>117</v>
      </c>
      <c r="F18" s="3">
        <v>3.5</v>
      </c>
    </row>
    <row r="19" spans="1:6" x14ac:dyDescent="0.2">
      <c r="A19" t="s">
        <v>66</v>
      </c>
      <c r="B19" t="s">
        <v>67</v>
      </c>
      <c r="C19" s="1">
        <v>4</v>
      </c>
      <c r="D19" s="1" t="s">
        <v>15</v>
      </c>
      <c r="E19" s="1" t="s">
        <v>16</v>
      </c>
      <c r="F19" s="3">
        <v>3.52</v>
      </c>
    </row>
    <row r="20" spans="1:6" x14ac:dyDescent="0.2">
      <c r="A20" t="s">
        <v>66</v>
      </c>
      <c r="B20" t="s">
        <v>68</v>
      </c>
      <c r="C20" s="1">
        <v>4</v>
      </c>
      <c r="D20" s="1" t="s">
        <v>15</v>
      </c>
      <c r="E20" s="1" t="s">
        <v>16</v>
      </c>
      <c r="F20" s="3">
        <v>3.51</v>
      </c>
    </row>
    <row r="21" spans="1:6" x14ac:dyDescent="0.2">
      <c r="A21" t="s">
        <v>69</v>
      </c>
      <c r="B21" t="s">
        <v>70</v>
      </c>
      <c r="C21" s="1">
        <v>3</v>
      </c>
      <c r="D21" s="1" t="s">
        <v>32</v>
      </c>
      <c r="E21" s="1" t="s">
        <v>5</v>
      </c>
      <c r="F21" s="3">
        <v>2.8</v>
      </c>
    </row>
    <row r="22" spans="1:6" x14ac:dyDescent="0.2">
      <c r="A22" t="s">
        <v>77</v>
      </c>
      <c r="B22" t="s">
        <v>78</v>
      </c>
      <c r="C22" s="1">
        <v>3</v>
      </c>
      <c r="D22" s="1" t="s">
        <v>11</v>
      </c>
      <c r="E22" s="1" t="s">
        <v>22</v>
      </c>
      <c r="F22" s="3">
        <v>3.8</v>
      </c>
    </row>
    <row r="23" spans="1:6" x14ac:dyDescent="0.2">
      <c r="A23" t="s">
        <v>75</v>
      </c>
      <c r="B23" t="s">
        <v>76</v>
      </c>
      <c r="C23" s="1">
        <v>3</v>
      </c>
      <c r="D23" s="1" t="s">
        <v>31</v>
      </c>
      <c r="E23" s="1" t="s">
        <v>14</v>
      </c>
      <c r="F23" s="3">
        <v>2.5</v>
      </c>
    </row>
    <row r="24" spans="1:6" x14ac:dyDescent="0.2">
      <c r="A24" t="s">
        <v>91</v>
      </c>
      <c r="B24" t="s">
        <v>92</v>
      </c>
      <c r="C24" s="1">
        <v>3</v>
      </c>
      <c r="D24" s="1" t="s">
        <v>23</v>
      </c>
      <c r="E24" s="1" t="s">
        <v>20</v>
      </c>
      <c r="F24" s="3">
        <v>2.2000000000000002</v>
      </c>
    </row>
    <row r="25" spans="1:6" x14ac:dyDescent="0.2">
      <c r="A25" t="s">
        <v>73</v>
      </c>
      <c r="B25" t="s">
        <v>74</v>
      </c>
      <c r="C25" s="1">
        <v>3</v>
      </c>
      <c r="D25" s="1" t="s">
        <v>18</v>
      </c>
      <c r="E25" s="1" t="s">
        <v>14</v>
      </c>
      <c r="F25" s="3">
        <v>3.98</v>
      </c>
    </row>
    <row r="26" spans="1:6" x14ac:dyDescent="0.2">
      <c r="A26" t="s">
        <v>85</v>
      </c>
      <c r="B26" t="s">
        <v>86</v>
      </c>
      <c r="C26" s="1">
        <v>3</v>
      </c>
      <c r="D26" s="1" t="s">
        <v>18</v>
      </c>
      <c r="E26" s="1" t="s">
        <v>12</v>
      </c>
      <c r="F26" s="3">
        <v>2.2000000000000002</v>
      </c>
    </row>
    <row r="27" spans="1:6" x14ac:dyDescent="0.2">
      <c r="A27" t="s">
        <v>39</v>
      </c>
      <c r="B27" t="s">
        <v>40</v>
      </c>
      <c r="C27" s="1">
        <v>3</v>
      </c>
      <c r="D27" s="1" t="s">
        <v>7</v>
      </c>
      <c r="E27" s="1" t="s">
        <v>14</v>
      </c>
      <c r="F27" s="3">
        <v>3.3</v>
      </c>
    </row>
    <row r="28" spans="1:6" x14ac:dyDescent="0.2">
      <c r="A28" t="s">
        <v>97</v>
      </c>
      <c r="B28" t="s">
        <v>98</v>
      </c>
      <c r="C28" s="1">
        <v>3</v>
      </c>
      <c r="D28" s="1" t="s">
        <v>7</v>
      </c>
      <c r="E28" s="1" t="s">
        <v>8</v>
      </c>
      <c r="F28" s="3">
        <v>2.8</v>
      </c>
    </row>
    <row r="29" spans="1:6" x14ac:dyDescent="0.2">
      <c r="A29" t="s">
        <v>99</v>
      </c>
      <c r="B29" t="s">
        <v>114</v>
      </c>
      <c r="C29" s="1">
        <v>3</v>
      </c>
      <c r="D29" s="1" t="s">
        <v>9</v>
      </c>
      <c r="E29" s="1" t="s">
        <v>29</v>
      </c>
      <c r="F29" s="3">
        <v>3.5</v>
      </c>
    </row>
    <row r="30" spans="1:6" x14ac:dyDescent="0.2">
      <c r="A30" t="s">
        <v>99</v>
      </c>
      <c r="B30" t="s">
        <v>103</v>
      </c>
      <c r="C30" s="1">
        <v>3</v>
      </c>
      <c r="D30" s="1" t="s">
        <v>9</v>
      </c>
      <c r="E30" s="1" t="s">
        <v>27</v>
      </c>
      <c r="F30" s="3">
        <v>3.3</v>
      </c>
    </row>
    <row r="31" spans="1:6" x14ac:dyDescent="0.2">
      <c r="A31" t="s">
        <v>99</v>
      </c>
      <c r="B31" t="s">
        <v>101</v>
      </c>
      <c r="C31" s="1">
        <v>3</v>
      </c>
      <c r="D31" s="1" t="s">
        <v>9</v>
      </c>
      <c r="E31" s="1" t="s">
        <v>12</v>
      </c>
      <c r="F31" s="3">
        <v>1.3</v>
      </c>
    </row>
    <row r="32" spans="1:6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123</v>
      </c>
      <c r="B33" t="s">
        <v>124</v>
      </c>
      <c r="C33" s="1">
        <v>2</v>
      </c>
      <c r="D33" s="1" t="s">
        <v>11</v>
      </c>
      <c r="E33" s="1" t="s">
        <v>122</v>
      </c>
      <c r="F33" s="3">
        <v>3</v>
      </c>
    </row>
    <row r="34" spans="1:6" x14ac:dyDescent="0.2">
      <c r="A34" t="s">
        <v>43</v>
      </c>
      <c r="B34" t="s">
        <v>44</v>
      </c>
      <c r="C34" s="1">
        <v>2</v>
      </c>
      <c r="D34" s="1" t="s">
        <v>11</v>
      </c>
      <c r="E34" s="1" t="s">
        <v>8</v>
      </c>
      <c r="F34" s="3">
        <v>2.2200000000000002</v>
      </c>
    </row>
    <row r="35" spans="1:6" x14ac:dyDescent="0.2">
      <c r="A35" t="s">
        <v>43</v>
      </c>
      <c r="B35" t="s">
        <v>45</v>
      </c>
      <c r="C35" s="1">
        <v>2</v>
      </c>
      <c r="D35" s="1" t="s">
        <v>11</v>
      </c>
      <c r="E35" s="1" t="s">
        <v>8</v>
      </c>
      <c r="F35" s="3">
        <v>2.2200000000000002</v>
      </c>
    </row>
    <row r="36" spans="1:6" x14ac:dyDescent="0.2">
      <c r="A36" t="s">
        <v>64</v>
      </c>
      <c r="B36" t="s">
        <v>113</v>
      </c>
      <c r="C36" s="1">
        <v>2</v>
      </c>
      <c r="D36" s="1" t="s">
        <v>11</v>
      </c>
      <c r="E36" s="1" t="s">
        <v>30</v>
      </c>
      <c r="F36" s="3">
        <v>1.9</v>
      </c>
    </row>
    <row r="37" spans="1:6" x14ac:dyDescent="0.2">
      <c r="A37" t="s">
        <v>56</v>
      </c>
      <c r="B37" t="s">
        <v>57</v>
      </c>
      <c r="C37" s="1">
        <v>2</v>
      </c>
      <c r="D37" s="1" t="s">
        <v>3</v>
      </c>
      <c r="E37" s="1" t="s">
        <v>5</v>
      </c>
      <c r="F37" s="3">
        <v>4</v>
      </c>
    </row>
    <row r="38" spans="1:6" x14ac:dyDescent="0.2">
      <c r="A38" t="s">
        <v>111</v>
      </c>
      <c r="B38" t="s">
        <v>112</v>
      </c>
      <c r="C38" s="1">
        <v>2</v>
      </c>
      <c r="D38" s="1" t="s">
        <v>3</v>
      </c>
      <c r="E38" s="1" t="s">
        <v>12</v>
      </c>
      <c r="F38" s="3">
        <v>4</v>
      </c>
    </row>
    <row r="39" spans="1:6" x14ac:dyDescent="0.2">
      <c r="A39" t="s">
        <v>46</v>
      </c>
      <c r="B39" t="s">
        <v>47</v>
      </c>
      <c r="C39" s="1">
        <v>2</v>
      </c>
      <c r="D39" s="1" t="s">
        <v>19</v>
      </c>
      <c r="E39" s="1" t="s">
        <v>20</v>
      </c>
      <c r="F39" s="3">
        <v>2.2000000000000002</v>
      </c>
    </row>
    <row r="40" spans="1:6" x14ac:dyDescent="0.2">
      <c r="A40" t="s">
        <v>71</v>
      </c>
      <c r="B40" t="s">
        <v>72</v>
      </c>
      <c r="C40" s="1">
        <v>2</v>
      </c>
      <c r="D40" s="1" t="s">
        <v>26</v>
      </c>
      <c r="E40" s="1" t="s">
        <v>27</v>
      </c>
      <c r="F40" s="3">
        <v>3.5</v>
      </c>
    </row>
    <row r="41" spans="1:6" x14ac:dyDescent="0.2">
      <c r="A41" t="s">
        <v>93</v>
      </c>
      <c r="B41" t="s">
        <v>94</v>
      </c>
      <c r="C41" s="1">
        <v>2</v>
      </c>
      <c r="D41" s="1" t="s">
        <v>18</v>
      </c>
      <c r="E41" s="1" t="s">
        <v>14</v>
      </c>
      <c r="F41" s="3">
        <v>1.5</v>
      </c>
    </row>
    <row r="42" spans="1:6" x14ac:dyDescent="0.2">
      <c r="A42" t="s">
        <v>60</v>
      </c>
      <c r="B42" t="s">
        <v>61</v>
      </c>
      <c r="C42" s="1">
        <v>2</v>
      </c>
      <c r="D42" s="1" t="s">
        <v>18</v>
      </c>
      <c r="E42" s="1" t="s">
        <v>13</v>
      </c>
      <c r="F42" s="3">
        <v>1</v>
      </c>
    </row>
    <row r="43" spans="1:6" x14ac:dyDescent="0.2">
      <c r="A43" t="s">
        <v>125</v>
      </c>
      <c r="B43" t="s">
        <v>126</v>
      </c>
      <c r="C43" s="1">
        <v>2</v>
      </c>
      <c r="D43" s="1" t="s">
        <v>7</v>
      </c>
      <c r="E43" s="1" t="s">
        <v>122</v>
      </c>
      <c r="F43" s="3">
        <v>3</v>
      </c>
    </row>
    <row r="44" spans="1:6" x14ac:dyDescent="0.2">
      <c r="A44" t="s">
        <v>65</v>
      </c>
      <c r="B44" t="s">
        <v>55</v>
      </c>
      <c r="C44" s="1">
        <v>2</v>
      </c>
      <c r="D44" s="1" t="s">
        <v>7</v>
      </c>
      <c r="E44" s="1" t="s">
        <v>10</v>
      </c>
      <c r="F44" s="3">
        <v>2.0099999999999998</v>
      </c>
    </row>
    <row r="45" spans="1:6" x14ac:dyDescent="0.2">
      <c r="A45" t="s">
        <v>81</v>
      </c>
      <c r="B45" t="s">
        <v>82</v>
      </c>
      <c r="C45" s="1">
        <v>2</v>
      </c>
      <c r="D45" s="1" t="s">
        <v>7</v>
      </c>
      <c r="E45" s="1" t="s">
        <v>13</v>
      </c>
      <c r="F45" s="3">
        <v>1.1000000000000001</v>
      </c>
    </row>
    <row r="46" spans="1:6" x14ac:dyDescent="0.2">
      <c r="A46" t="s">
        <v>115</v>
      </c>
      <c r="B46" t="s">
        <v>116</v>
      </c>
      <c r="C46" s="1">
        <v>1</v>
      </c>
      <c r="D46" s="1" t="s">
        <v>11</v>
      </c>
      <c r="E46" s="1" t="s">
        <v>117</v>
      </c>
      <c r="F46" s="3">
        <v>4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x14ac:dyDescent="0.2">
      <c r="A48" t="s">
        <v>104</v>
      </c>
      <c r="B48" t="s">
        <v>105</v>
      </c>
      <c r="C48" s="1">
        <v>1</v>
      </c>
      <c r="D48" s="1" t="s">
        <v>11</v>
      </c>
      <c r="E48" s="1" t="s">
        <v>12</v>
      </c>
      <c r="F48" s="3">
        <v>0.25</v>
      </c>
    </row>
    <row r="49" spans="1:6" x14ac:dyDescent="0.2">
      <c r="A49" t="s">
        <v>37</v>
      </c>
      <c r="B49" t="s">
        <v>38</v>
      </c>
      <c r="C49" s="1">
        <v>1</v>
      </c>
      <c r="D49" s="1" t="s">
        <v>7</v>
      </c>
      <c r="E49" s="1" t="s">
        <v>28</v>
      </c>
      <c r="F49" s="3">
        <v>1.2</v>
      </c>
    </row>
    <row r="50" spans="1:6" x14ac:dyDescent="0.2">
      <c r="A50" t="s">
        <v>99</v>
      </c>
      <c r="B50" t="s">
        <v>100</v>
      </c>
      <c r="C50" s="1">
        <v>1</v>
      </c>
      <c r="D50" s="1" t="s">
        <v>9</v>
      </c>
      <c r="E50" s="1" t="s">
        <v>10</v>
      </c>
      <c r="F50" s="3">
        <v>1</v>
      </c>
    </row>
    <row r="51" spans="1:6" x14ac:dyDescent="0.2">
      <c r="A51" t="s">
        <v>121</v>
      </c>
      <c r="B51" t="s">
        <v>63</v>
      </c>
      <c r="C51" s="1">
        <v>1</v>
      </c>
      <c r="D51" s="1" t="s">
        <v>15</v>
      </c>
      <c r="E51" s="1" t="s">
        <v>122</v>
      </c>
      <c r="F51" s="3">
        <v>3</v>
      </c>
    </row>
  </sheetData>
  <sortState xmlns:xlrd2="http://schemas.microsoft.com/office/spreadsheetml/2017/richdata2" ref="A2:F51">
    <sortCondition descending="1" ref="C2:C51"/>
    <sortCondition ref="D2:D51"/>
    <sortCondition descending="1" ref="F2:F5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51"/>
  <sheetViews>
    <sheetView zoomScale="145" zoomScaleNormal="145" workbookViewId="0">
      <pane ySplit="1" topLeftCell="A2" activePane="bottomLeft" state="frozen"/>
      <selection pane="bottomLeft" activeCell="A52" sqref="A52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6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6" hidden="1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6" hidden="1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</row>
    <row r="4" spans="1:6" hidden="1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6" hidden="1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6" hidden="1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6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6" hidden="1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6" hidden="1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6" hidden="1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6" hidden="1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6" hidden="1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6" hidden="1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6" hidden="1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6" hidden="1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6" hidden="1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8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8" hidden="1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8" hidden="1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8" hidden="1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8" hidden="1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8" hidden="1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8" hidden="1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8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8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  <c r="H25" s="5" t="s">
        <v>135</v>
      </c>
    </row>
    <row r="26" spans="1:8" hidden="1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8" hidden="1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8" hidden="1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8" hidden="1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8" hidden="1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8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8" hidden="1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hidden="1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hidden="1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hidden="1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hidden="1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hidden="1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hidden="1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hidden="1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hidden="1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hidden="1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hidden="1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hidden="1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hidden="1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hidden="1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hidden="1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hidden="1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hidden="1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hidden="1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hidden="1" x14ac:dyDescent="0.2">
      <c r="A51" s="6" t="s">
        <v>129</v>
      </c>
      <c r="B51" s="6" t="s">
        <v>130</v>
      </c>
      <c r="C51" s="1">
        <v>4</v>
      </c>
      <c r="D51" s="7" t="s">
        <v>11</v>
      </c>
      <c r="E51" s="8" t="s">
        <v>134</v>
      </c>
      <c r="F51" s="3">
        <v>3.34</v>
      </c>
    </row>
  </sheetData>
  <autoFilter ref="A1:F51" xr:uid="{00000000-0001-0000-0300-000000000000}">
    <filterColumn colId="2">
      <filters>
        <filter val="3"/>
      </filters>
    </filterColumn>
    <filterColumn colId="3">
      <filters>
        <filter val="California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51"/>
  <sheetViews>
    <sheetView zoomScale="145" zoomScaleNormal="145" workbookViewId="0">
      <pane ySplit="1" topLeftCell="A2" activePane="bottomLeft" state="frozen"/>
      <selection pane="bottomLeft" activeCell="D65" sqref="D65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8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8" hidden="1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8" hidden="1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</row>
    <row r="4" spans="1:8" hidden="1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8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  <c r="H5" s="5" t="s">
        <v>136</v>
      </c>
    </row>
    <row r="6" spans="1:8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8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8" hidden="1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8" hidden="1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8" hidden="1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8" hidden="1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8" hidden="1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8" hidden="1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8" hidden="1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8" hidden="1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8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6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hidden="1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6" hidden="1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6" hidden="1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hidden="1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6" hidden="1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6" hidden="1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6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hidden="1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</row>
    <row r="26" spans="1:6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6" hidden="1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6" hidden="1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6" hidden="1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6" hidden="1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hidden="1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hidden="1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hidden="1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hidden="1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hidden="1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hidden="1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hidden="1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hidden="1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hidden="1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hidden="1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hidden="1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hidden="1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hidden="1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hidden="1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hidden="1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hidden="1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hidden="1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hidden="1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hidden="1" x14ac:dyDescent="0.2">
      <c r="A51" t="s">
        <v>129</v>
      </c>
      <c r="B51" t="s">
        <v>130</v>
      </c>
      <c r="C51" s="1">
        <v>4</v>
      </c>
      <c r="D51" s="1" t="s">
        <v>11</v>
      </c>
      <c r="E51" s="1" t="s">
        <v>131</v>
      </c>
      <c r="F51" s="3">
        <v>3.34</v>
      </c>
    </row>
  </sheetData>
  <autoFilter ref="A1:F51" xr:uid="{00000000-0001-0000-0400-000000000000}">
    <filterColumn colId="2">
      <filters>
        <filter val="2"/>
      </filters>
    </filterColumn>
    <filterColumn colId="3">
      <filters>
        <filter val="California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51"/>
  <sheetViews>
    <sheetView zoomScale="145" zoomScaleNormal="145" workbookViewId="0">
      <pane ySplit="1" topLeftCell="A2" activePane="bottomLeft" state="frozen"/>
      <selection pane="bottomLeft" activeCell="H3" sqref="H3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8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8" hidden="1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8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  <c r="H3" s="5" t="s">
        <v>137</v>
      </c>
    </row>
    <row r="4" spans="1:8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8" hidden="1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8" hidden="1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8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8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8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8" hidden="1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8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8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8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8" hidden="1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8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8" hidden="1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6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6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6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6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6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6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</row>
    <row r="26" spans="1:6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6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6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6" hidden="1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6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hidden="1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hidden="1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hidden="1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hidden="1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x14ac:dyDescent="0.2">
      <c r="A51" s="6" t="s">
        <v>129</v>
      </c>
      <c r="B51" s="6" t="s">
        <v>130</v>
      </c>
      <c r="C51" s="1">
        <v>4</v>
      </c>
      <c r="D51" s="8" t="s">
        <v>11</v>
      </c>
      <c r="E51" s="8" t="s">
        <v>131</v>
      </c>
      <c r="F51" s="3">
        <v>3.34</v>
      </c>
    </row>
  </sheetData>
  <autoFilter ref="A1:F51" xr:uid="{00000000-0001-0000-0500-000000000000}">
    <filterColumn colId="5">
      <customFilters>
        <customFilter operator="greaterThan" val="2.5"/>
      </custom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51"/>
  <sheetViews>
    <sheetView zoomScale="145" zoomScaleNormal="145" workbookViewId="0">
      <pane ySplit="1" topLeftCell="A22" activePane="bottomLeft" state="frozen"/>
      <selection pane="bottomLeft" activeCell="H22" sqref="H22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6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</row>
    <row r="2" spans="1:6" hidden="1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6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</row>
    <row r="4" spans="1:6" hidden="1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6" hidden="1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6" hidden="1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6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6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6" hidden="1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6" hidden="1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6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6" hidden="1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6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6" hidden="1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6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6" hidden="1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8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8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8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8" hidden="1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8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8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  <c r="H22" s="5" t="s">
        <v>138</v>
      </c>
    </row>
    <row r="23" spans="1:8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8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8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</row>
    <row r="26" spans="1:8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8" hidden="1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8" hidden="1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8" hidden="1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8" hidden="1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8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8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hidden="1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hidden="1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hidden="1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hidden="1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hidden="1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hidden="1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hidden="1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hidden="1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hidden="1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x14ac:dyDescent="0.2">
      <c r="A51" s="6" t="s">
        <v>129</v>
      </c>
      <c r="B51" s="6" t="s">
        <v>130</v>
      </c>
      <c r="C51" s="1">
        <v>4</v>
      </c>
      <c r="D51" s="7" t="s">
        <v>11</v>
      </c>
      <c r="E51" s="8" t="s">
        <v>131</v>
      </c>
      <c r="F51" s="3">
        <v>3.34</v>
      </c>
    </row>
  </sheetData>
  <autoFilter ref="A1:F51" xr:uid="{00000000-0001-0000-0600-000000000000}">
    <filterColumn colId="5">
      <customFilters and="1">
        <customFilter operator="greaterThanOrEqual" val="3"/>
        <customFilter operator="lessThan" val="4"/>
      </custom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51"/>
  <sheetViews>
    <sheetView zoomScale="145" zoomScaleNormal="145" workbookViewId="0">
      <pane ySplit="1" topLeftCell="A2" activePane="bottomLeft" state="frozen"/>
      <selection pane="bottomLeft" activeCell="H11" sqref="H11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8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  <c r="H1" s="9" t="s">
        <v>139</v>
      </c>
    </row>
    <row r="2" spans="1:8" x14ac:dyDescent="0.2">
      <c r="A2" t="s">
        <v>41</v>
      </c>
      <c r="B2" t="s">
        <v>42</v>
      </c>
      <c r="C2" s="1">
        <v>4</v>
      </c>
      <c r="D2" s="1" t="s">
        <v>11</v>
      </c>
      <c r="E2" s="1" t="s">
        <v>30</v>
      </c>
      <c r="F2" s="3">
        <v>4</v>
      </c>
      <c r="H2" s="5" t="s">
        <v>140</v>
      </c>
    </row>
    <row r="3" spans="1:8" x14ac:dyDescent="0.2">
      <c r="A3" t="s">
        <v>50</v>
      </c>
      <c r="B3" t="s">
        <v>51</v>
      </c>
      <c r="C3" s="1">
        <v>4</v>
      </c>
      <c r="D3" s="1" t="s">
        <v>3</v>
      </c>
      <c r="E3" s="1" t="s">
        <v>10</v>
      </c>
      <c r="F3" s="3">
        <v>4</v>
      </c>
    </row>
    <row r="4" spans="1:8" x14ac:dyDescent="0.2">
      <c r="A4" t="s">
        <v>56</v>
      </c>
      <c r="B4" t="s">
        <v>57</v>
      </c>
      <c r="C4" s="1">
        <v>2</v>
      </c>
      <c r="D4" s="1" t="s">
        <v>3</v>
      </c>
      <c r="E4" s="1" t="s">
        <v>5</v>
      </c>
      <c r="F4" s="3">
        <v>4</v>
      </c>
    </row>
    <row r="5" spans="1:8" hidden="1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8" hidden="1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8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8" x14ac:dyDescent="0.2">
      <c r="A8" t="s">
        <v>127</v>
      </c>
      <c r="B8" t="s">
        <v>128</v>
      </c>
      <c r="C8" s="1">
        <v>4</v>
      </c>
      <c r="D8" s="1" t="s">
        <v>18</v>
      </c>
      <c r="E8" s="1" t="s">
        <v>122</v>
      </c>
      <c r="F8" s="3">
        <v>4</v>
      </c>
    </row>
    <row r="9" spans="1:8" x14ac:dyDescent="0.2">
      <c r="A9" t="s">
        <v>79</v>
      </c>
      <c r="B9" t="s">
        <v>80</v>
      </c>
      <c r="C9" s="1">
        <v>4</v>
      </c>
      <c r="D9" s="1" t="s">
        <v>11</v>
      </c>
      <c r="E9" s="1" t="s">
        <v>14</v>
      </c>
      <c r="F9" s="3">
        <v>4</v>
      </c>
    </row>
    <row r="10" spans="1:8" x14ac:dyDescent="0.2">
      <c r="A10" t="s">
        <v>99</v>
      </c>
      <c r="B10" t="s">
        <v>102</v>
      </c>
      <c r="C10" s="1">
        <v>4</v>
      </c>
      <c r="D10" s="1" t="s">
        <v>9</v>
      </c>
      <c r="E10" s="1" t="s">
        <v>8</v>
      </c>
      <c r="F10" s="3">
        <v>4</v>
      </c>
    </row>
    <row r="11" spans="1:8" x14ac:dyDescent="0.2">
      <c r="A11" t="s">
        <v>111</v>
      </c>
      <c r="B11" t="s">
        <v>112</v>
      </c>
      <c r="C11" s="1">
        <v>2</v>
      </c>
      <c r="D11" s="1" t="s">
        <v>3</v>
      </c>
      <c r="E11" s="1" t="s">
        <v>12</v>
      </c>
      <c r="F11" s="3">
        <v>4</v>
      </c>
    </row>
    <row r="12" spans="1:8" x14ac:dyDescent="0.2">
      <c r="A12" t="s">
        <v>115</v>
      </c>
      <c r="B12" t="s">
        <v>116</v>
      </c>
      <c r="C12" s="1">
        <v>1</v>
      </c>
      <c r="D12" s="1" t="s">
        <v>11</v>
      </c>
      <c r="E12" s="1" t="s">
        <v>117</v>
      </c>
      <c r="F12" s="3">
        <v>4</v>
      </c>
    </row>
    <row r="13" spans="1:8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8" x14ac:dyDescent="0.2">
      <c r="A14" t="s">
        <v>73</v>
      </c>
      <c r="B14" t="s">
        <v>74</v>
      </c>
      <c r="C14" s="1">
        <v>3</v>
      </c>
      <c r="D14" s="1" t="s">
        <v>18</v>
      </c>
      <c r="E14" s="1" t="s">
        <v>14</v>
      </c>
      <c r="F14" s="3">
        <v>3.98</v>
      </c>
    </row>
    <row r="15" spans="1:8" x14ac:dyDescent="0.2">
      <c r="A15" t="s">
        <v>95</v>
      </c>
      <c r="B15" t="s">
        <v>96</v>
      </c>
      <c r="C15" s="1">
        <v>4</v>
      </c>
      <c r="D15" s="1" t="s">
        <v>21</v>
      </c>
      <c r="E15" s="1" t="s">
        <v>22</v>
      </c>
      <c r="F15" s="3">
        <v>3.9</v>
      </c>
    </row>
    <row r="16" spans="1:8" x14ac:dyDescent="0.2">
      <c r="A16" t="s">
        <v>77</v>
      </c>
      <c r="B16" t="s">
        <v>78</v>
      </c>
      <c r="C16" s="1">
        <v>3</v>
      </c>
      <c r="D16" s="1" t="s">
        <v>11</v>
      </c>
      <c r="E16" s="1" t="s">
        <v>22</v>
      </c>
      <c r="F16" s="3">
        <v>3.8</v>
      </c>
    </row>
    <row r="17" spans="1:6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x14ac:dyDescent="0.2">
      <c r="A18" t="s">
        <v>106</v>
      </c>
      <c r="B18" t="s">
        <v>107</v>
      </c>
      <c r="C18" s="1">
        <v>1</v>
      </c>
      <c r="D18" s="1" t="s">
        <v>11</v>
      </c>
      <c r="E18" s="1" t="s">
        <v>13</v>
      </c>
      <c r="F18" s="3">
        <v>3.8</v>
      </c>
    </row>
    <row r="19" spans="1:6" x14ac:dyDescent="0.2">
      <c r="A19" t="s">
        <v>66</v>
      </c>
      <c r="B19" t="s">
        <v>67</v>
      </c>
      <c r="C19" s="1">
        <v>4</v>
      </c>
      <c r="D19" s="1" t="s">
        <v>15</v>
      </c>
      <c r="E19" s="1" t="s">
        <v>16</v>
      </c>
      <c r="F19" s="3">
        <v>3.52</v>
      </c>
    </row>
    <row r="20" spans="1:6" hidden="1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x14ac:dyDescent="0.2">
      <c r="A21" t="s">
        <v>66</v>
      </c>
      <c r="B21" t="s">
        <v>68</v>
      </c>
      <c r="C21" s="1">
        <v>4</v>
      </c>
      <c r="D21" s="1" t="s">
        <v>15</v>
      </c>
      <c r="E21" s="1" t="s">
        <v>16</v>
      </c>
      <c r="F21" s="3">
        <v>3.51</v>
      </c>
    </row>
    <row r="22" spans="1:6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6" x14ac:dyDescent="0.2">
      <c r="A23" t="s">
        <v>99</v>
      </c>
      <c r="B23" t="s">
        <v>114</v>
      </c>
      <c r="C23" s="1">
        <v>3</v>
      </c>
      <c r="D23" s="1" t="s">
        <v>9</v>
      </c>
      <c r="E23" s="1" t="s">
        <v>29</v>
      </c>
      <c r="F23" s="3">
        <v>3.5</v>
      </c>
    </row>
    <row r="24" spans="1:6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x14ac:dyDescent="0.2">
      <c r="A25" t="s">
        <v>118</v>
      </c>
      <c r="B25" t="s">
        <v>119</v>
      </c>
      <c r="C25" s="1">
        <v>4</v>
      </c>
      <c r="D25" s="1" t="s">
        <v>120</v>
      </c>
      <c r="E25" s="1" t="s">
        <v>117</v>
      </c>
      <c r="F25" s="3">
        <v>3.5</v>
      </c>
    </row>
    <row r="26" spans="1:6" x14ac:dyDescent="0.2">
      <c r="A26" s="6" t="s">
        <v>129</v>
      </c>
      <c r="B26" s="6" t="s">
        <v>130</v>
      </c>
      <c r="C26" s="1">
        <v>4</v>
      </c>
      <c r="D26" s="7" t="s">
        <v>11</v>
      </c>
      <c r="E26" s="8" t="s">
        <v>131</v>
      </c>
      <c r="F26" s="3">
        <v>3.34</v>
      </c>
    </row>
    <row r="27" spans="1:6" x14ac:dyDescent="0.2">
      <c r="A27" t="s">
        <v>39</v>
      </c>
      <c r="B27" t="s">
        <v>40</v>
      </c>
      <c r="C27" s="1">
        <v>3</v>
      </c>
      <c r="D27" s="1" t="s">
        <v>7</v>
      </c>
      <c r="E27" s="1" t="s">
        <v>14</v>
      </c>
      <c r="F27" s="3">
        <v>3.3</v>
      </c>
    </row>
    <row r="28" spans="1:6" x14ac:dyDescent="0.2">
      <c r="A28" t="s">
        <v>99</v>
      </c>
      <c r="B28" t="s">
        <v>103</v>
      </c>
      <c r="C28" s="1">
        <v>3</v>
      </c>
      <c r="D28" s="1" t="s">
        <v>9</v>
      </c>
      <c r="E28" s="1" t="s">
        <v>27</v>
      </c>
      <c r="F28" s="3">
        <v>3.3</v>
      </c>
    </row>
    <row r="29" spans="1:6" x14ac:dyDescent="0.2">
      <c r="A29" t="s">
        <v>89</v>
      </c>
      <c r="B29" t="s">
        <v>90</v>
      </c>
      <c r="C29" s="1">
        <v>4</v>
      </c>
      <c r="D29" s="1" t="s">
        <v>24</v>
      </c>
      <c r="E29" s="1" t="s">
        <v>5</v>
      </c>
      <c r="F29" s="3">
        <v>3.2</v>
      </c>
    </row>
    <row r="30" spans="1:6" hidden="1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x14ac:dyDescent="0.2">
      <c r="A32" t="s">
        <v>48</v>
      </c>
      <c r="B32" t="s">
        <v>49</v>
      </c>
      <c r="C32" s="1">
        <v>4</v>
      </c>
      <c r="D32" s="1" t="s">
        <v>11</v>
      </c>
      <c r="E32" s="1" t="s">
        <v>10</v>
      </c>
      <c r="F32" s="3">
        <v>3</v>
      </c>
    </row>
    <row r="33" spans="1:6" x14ac:dyDescent="0.2">
      <c r="A33" t="s">
        <v>54</v>
      </c>
      <c r="B33" t="s">
        <v>55</v>
      </c>
      <c r="C33" s="1">
        <v>4</v>
      </c>
      <c r="D33" s="1" t="s">
        <v>34</v>
      </c>
      <c r="E33" s="1" t="s">
        <v>6</v>
      </c>
      <c r="F33" s="3">
        <v>3</v>
      </c>
    </row>
    <row r="34" spans="1:6" x14ac:dyDescent="0.2">
      <c r="A34" t="s">
        <v>62</v>
      </c>
      <c r="B34" t="s">
        <v>63</v>
      </c>
      <c r="C34" s="1">
        <v>4</v>
      </c>
      <c r="D34" s="1" t="s">
        <v>2</v>
      </c>
      <c r="E34" s="1" t="s">
        <v>6</v>
      </c>
      <c r="F34" s="3">
        <v>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x14ac:dyDescent="0.2">
      <c r="A36" t="s">
        <v>121</v>
      </c>
      <c r="B36" t="s">
        <v>63</v>
      </c>
      <c r="C36" s="1">
        <v>1</v>
      </c>
      <c r="D36" s="1" t="s">
        <v>15</v>
      </c>
      <c r="E36" s="1" t="s">
        <v>122</v>
      </c>
      <c r="F36" s="3">
        <v>3</v>
      </c>
    </row>
    <row r="37" spans="1:6" x14ac:dyDescent="0.2">
      <c r="A37" t="s">
        <v>123</v>
      </c>
      <c r="B37" t="s">
        <v>124</v>
      </c>
      <c r="C37" s="1">
        <v>2</v>
      </c>
      <c r="D37" s="1" t="s">
        <v>11</v>
      </c>
      <c r="E37" s="1" t="s">
        <v>122</v>
      </c>
      <c r="F37" s="3">
        <v>3</v>
      </c>
    </row>
    <row r="38" spans="1:6" hidden="1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x14ac:dyDescent="0.2">
      <c r="A39" t="s">
        <v>87</v>
      </c>
      <c r="B39" t="s">
        <v>88</v>
      </c>
      <c r="C39" s="1">
        <v>3</v>
      </c>
      <c r="D39" s="1" t="s">
        <v>15</v>
      </c>
      <c r="E39" s="1" t="s">
        <v>17</v>
      </c>
      <c r="F39" s="3">
        <v>3</v>
      </c>
    </row>
    <row r="40" spans="1:6" x14ac:dyDescent="0.2">
      <c r="A40" t="s">
        <v>109</v>
      </c>
      <c r="B40" t="s">
        <v>110</v>
      </c>
      <c r="C40" s="1">
        <v>4</v>
      </c>
      <c r="D40" s="1" t="s">
        <v>3</v>
      </c>
      <c r="E40" s="1" t="s">
        <v>6</v>
      </c>
      <c r="F40" s="3">
        <v>3</v>
      </c>
    </row>
    <row r="41" spans="1:6" x14ac:dyDescent="0.2">
      <c r="A41" t="s">
        <v>125</v>
      </c>
      <c r="B41" t="s">
        <v>126</v>
      </c>
      <c r="C41" s="1">
        <v>2</v>
      </c>
      <c r="D41" s="1" t="s">
        <v>7</v>
      </c>
      <c r="E41" s="1" t="s">
        <v>122</v>
      </c>
      <c r="F41" s="3">
        <v>3</v>
      </c>
    </row>
    <row r="42" spans="1:6" x14ac:dyDescent="0.2">
      <c r="A42" t="s">
        <v>64</v>
      </c>
      <c r="B42" t="s">
        <v>113</v>
      </c>
      <c r="C42" s="1">
        <v>2</v>
      </c>
      <c r="D42" s="1" t="s">
        <v>11</v>
      </c>
      <c r="E42" s="1" t="s">
        <v>30</v>
      </c>
      <c r="F42" s="3">
        <v>1.9</v>
      </c>
    </row>
    <row r="43" spans="1:6" x14ac:dyDescent="0.2">
      <c r="A43" t="s">
        <v>93</v>
      </c>
      <c r="B43" t="s">
        <v>94</v>
      </c>
      <c r="C43" s="1">
        <v>2</v>
      </c>
      <c r="D43" s="1" t="s">
        <v>18</v>
      </c>
      <c r="E43" s="1" t="s">
        <v>14</v>
      </c>
      <c r="F43" s="3">
        <v>1.5</v>
      </c>
    </row>
    <row r="44" spans="1:6" x14ac:dyDescent="0.2">
      <c r="A44" t="s">
        <v>99</v>
      </c>
      <c r="B44" t="s">
        <v>101</v>
      </c>
      <c r="C44" s="1">
        <v>3</v>
      </c>
      <c r="D44" s="1" t="s">
        <v>9</v>
      </c>
      <c r="E44" s="1" t="s">
        <v>12</v>
      </c>
      <c r="F44" s="3">
        <v>1.3</v>
      </c>
    </row>
    <row r="45" spans="1:6" x14ac:dyDescent="0.2">
      <c r="A45" t="s">
        <v>37</v>
      </c>
      <c r="B45" t="s">
        <v>38</v>
      </c>
      <c r="C45" s="1">
        <v>1</v>
      </c>
      <c r="D45" s="1" t="s">
        <v>7</v>
      </c>
      <c r="E45" s="1" t="s">
        <v>28</v>
      </c>
      <c r="F45" s="3">
        <v>1.2</v>
      </c>
    </row>
    <row r="46" spans="1:6" x14ac:dyDescent="0.2">
      <c r="A46" t="s">
        <v>81</v>
      </c>
      <c r="B46" t="s">
        <v>82</v>
      </c>
      <c r="C46" s="1">
        <v>2</v>
      </c>
      <c r="D46" s="1" t="s">
        <v>7</v>
      </c>
      <c r="E46" s="1" t="s">
        <v>13</v>
      </c>
      <c r="F46" s="3">
        <v>1.1000000000000001</v>
      </c>
    </row>
    <row r="47" spans="1:6" x14ac:dyDescent="0.2">
      <c r="A47" t="s">
        <v>52</v>
      </c>
      <c r="B47" t="s">
        <v>53</v>
      </c>
      <c r="C47" s="1">
        <v>4</v>
      </c>
      <c r="D47" s="1" t="s">
        <v>19</v>
      </c>
      <c r="E47" s="1" t="s">
        <v>22</v>
      </c>
      <c r="F47" s="3">
        <v>1</v>
      </c>
    </row>
    <row r="48" spans="1:6" hidden="1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x14ac:dyDescent="0.2">
      <c r="A49" t="s">
        <v>60</v>
      </c>
      <c r="B49" t="s">
        <v>61</v>
      </c>
      <c r="C49" s="1">
        <v>2</v>
      </c>
      <c r="D49" s="1" t="s">
        <v>18</v>
      </c>
      <c r="E49" s="1" t="s">
        <v>13</v>
      </c>
      <c r="F49" s="3">
        <v>1</v>
      </c>
    </row>
    <row r="50" spans="1:6" x14ac:dyDescent="0.2">
      <c r="A50" t="s">
        <v>99</v>
      </c>
      <c r="B50" t="s">
        <v>100</v>
      </c>
      <c r="C50" s="1">
        <v>1</v>
      </c>
      <c r="D50" s="1" t="s">
        <v>9</v>
      </c>
      <c r="E50" s="1" t="s">
        <v>10</v>
      </c>
      <c r="F50" s="3">
        <v>1</v>
      </c>
    </row>
    <row r="51" spans="1:6" x14ac:dyDescent="0.2">
      <c r="A51" t="s">
        <v>104</v>
      </c>
      <c r="B51" t="s">
        <v>105</v>
      </c>
      <c r="C51" s="1">
        <v>1</v>
      </c>
      <c r="D51" s="1" t="s">
        <v>11</v>
      </c>
      <c r="E51" s="1" t="s">
        <v>12</v>
      </c>
      <c r="F51" s="3">
        <v>0.25</v>
      </c>
    </row>
  </sheetData>
  <autoFilter ref="A1:F51" xr:uid="{00000000-0001-0000-0700-000000000000}">
    <filterColumn colId="5">
      <customFilters>
        <customFilter operator="lessThan" val="2"/>
        <customFilter operator="greaterThanOrEqual" val="3"/>
      </customFilters>
    </filterColumn>
    <sortState xmlns:xlrd2="http://schemas.microsoft.com/office/spreadsheetml/2017/richdata2" ref="A2:F51">
      <sortCondition descending="1" ref="F2:F5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I51"/>
  <sheetViews>
    <sheetView zoomScale="145" zoomScaleNormal="145" workbookViewId="0">
      <pane ySplit="1" topLeftCell="A2" activePane="bottomLeft" state="frozen"/>
      <selection pane="bottomLeft" activeCell="F3" sqref="F3"/>
    </sheetView>
  </sheetViews>
  <sheetFormatPr defaultRowHeight="12.75" x14ac:dyDescent="0.2"/>
  <cols>
    <col min="1" max="2" width="16.140625" customWidth="1"/>
    <col min="3" max="3" width="12" style="1" customWidth="1"/>
    <col min="4" max="4" width="17.140625" style="1" customWidth="1"/>
    <col min="5" max="5" width="14.85546875" style="1" customWidth="1"/>
    <col min="6" max="6" width="12.5703125" style="3" customWidth="1"/>
    <col min="8" max="8" width="12.42578125" bestFit="1" customWidth="1"/>
  </cols>
  <sheetData>
    <row r="1" spans="1:9" x14ac:dyDescent="0.2">
      <c r="A1" s="2" t="s">
        <v>35</v>
      </c>
      <c r="B1" s="2" t="s">
        <v>36</v>
      </c>
      <c r="C1" s="2" t="s">
        <v>0</v>
      </c>
      <c r="D1" s="2" t="s">
        <v>1</v>
      </c>
      <c r="E1" s="2" t="s">
        <v>4</v>
      </c>
      <c r="F1" s="4" t="s">
        <v>25</v>
      </c>
      <c r="H1" s="3" t="s">
        <v>141</v>
      </c>
    </row>
    <row r="2" spans="1:9" hidden="1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  <c r="H2" s="6" t="s">
        <v>142</v>
      </c>
      <c r="I2" s="3">
        <f>AVERAGE(F2:F51)</f>
        <v>2.8648000000000002</v>
      </c>
    </row>
    <row r="3" spans="1:9" x14ac:dyDescent="0.2">
      <c r="A3" t="s">
        <v>41</v>
      </c>
      <c r="B3" t="s">
        <v>42</v>
      </c>
      <c r="C3" s="1">
        <v>4</v>
      </c>
      <c r="D3" s="1" t="s">
        <v>11</v>
      </c>
      <c r="E3" s="1" t="s">
        <v>30</v>
      </c>
      <c r="F3" s="3">
        <v>4</v>
      </c>
    </row>
    <row r="4" spans="1:9" x14ac:dyDescent="0.2">
      <c r="A4" t="s">
        <v>50</v>
      </c>
      <c r="B4" t="s">
        <v>51</v>
      </c>
      <c r="C4" s="1">
        <v>4</v>
      </c>
      <c r="D4" s="1" t="s">
        <v>3</v>
      </c>
      <c r="E4" s="1" t="s">
        <v>10</v>
      </c>
      <c r="F4" s="3">
        <v>4</v>
      </c>
    </row>
    <row r="5" spans="1:9" hidden="1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9" hidden="1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9" hidden="1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9" x14ac:dyDescent="0.2">
      <c r="A8" t="s">
        <v>56</v>
      </c>
      <c r="B8" t="s">
        <v>57</v>
      </c>
      <c r="C8" s="1">
        <v>2</v>
      </c>
      <c r="D8" s="1" t="s">
        <v>3</v>
      </c>
      <c r="E8" s="1" t="s">
        <v>5</v>
      </c>
      <c r="F8" s="3">
        <v>4</v>
      </c>
    </row>
    <row r="9" spans="1:9" x14ac:dyDescent="0.2">
      <c r="A9" t="s">
        <v>127</v>
      </c>
      <c r="B9" t="s">
        <v>128</v>
      </c>
      <c r="C9" s="1">
        <v>4</v>
      </c>
      <c r="D9" s="1" t="s">
        <v>18</v>
      </c>
      <c r="E9" s="1" t="s">
        <v>122</v>
      </c>
      <c r="F9" s="3">
        <v>4</v>
      </c>
    </row>
    <row r="10" spans="1:9" hidden="1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9" x14ac:dyDescent="0.2">
      <c r="A11" t="s">
        <v>79</v>
      </c>
      <c r="B11" t="s">
        <v>80</v>
      </c>
      <c r="C11" s="1">
        <v>4</v>
      </c>
      <c r="D11" s="1" t="s">
        <v>11</v>
      </c>
      <c r="E11" s="1" t="s">
        <v>14</v>
      </c>
      <c r="F11" s="3">
        <v>4</v>
      </c>
    </row>
    <row r="12" spans="1:9" x14ac:dyDescent="0.2">
      <c r="A12" t="s">
        <v>99</v>
      </c>
      <c r="B12" t="s">
        <v>102</v>
      </c>
      <c r="C12" s="1">
        <v>4</v>
      </c>
      <c r="D12" s="1" t="s">
        <v>9</v>
      </c>
      <c r="E12" s="1" t="s">
        <v>8</v>
      </c>
      <c r="F12" s="3">
        <v>4</v>
      </c>
    </row>
    <row r="13" spans="1:9" x14ac:dyDescent="0.2">
      <c r="A13" t="s">
        <v>111</v>
      </c>
      <c r="B13" t="s">
        <v>112</v>
      </c>
      <c r="C13" s="1">
        <v>2</v>
      </c>
      <c r="D13" s="1" t="s">
        <v>3</v>
      </c>
      <c r="E13" s="1" t="s">
        <v>12</v>
      </c>
      <c r="F13" s="3">
        <v>4</v>
      </c>
    </row>
    <row r="14" spans="1:9" hidden="1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9" x14ac:dyDescent="0.2">
      <c r="A15" t="s">
        <v>115</v>
      </c>
      <c r="B15" t="s">
        <v>116</v>
      </c>
      <c r="C15" s="1">
        <v>1</v>
      </c>
      <c r="D15" s="1" t="s">
        <v>11</v>
      </c>
      <c r="E15" s="1" t="s">
        <v>117</v>
      </c>
      <c r="F15" s="3">
        <v>4</v>
      </c>
    </row>
    <row r="16" spans="1:9" hidden="1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6" hidden="1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x14ac:dyDescent="0.2">
      <c r="A18" t="s">
        <v>58</v>
      </c>
      <c r="B18" t="s">
        <v>59</v>
      </c>
      <c r="C18" s="1">
        <v>4</v>
      </c>
      <c r="D18" s="1" t="s">
        <v>18</v>
      </c>
      <c r="E18" s="1" t="s">
        <v>17</v>
      </c>
      <c r="F18" s="3">
        <v>3.99</v>
      </c>
    </row>
    <row r="19" spans="1:6" x14ac:dyDescent="0.2">
      <c r="A19" t="s">
        <v>73</v>
      </c>
      <c r="B19" t="s">
        <v>74</v>
      </c>
      <c r="C19" s="1">
        <v>3</v>
      </c>
      <c r="D19" s="1" t="s">
        <v>18</v>
      </c>
      <c r="E19" s="1" t="s">
        <v>14</v>
      </c>
      <c r="F19" s="3">
        <v>3.98</v>
      </c>
    </row>
    <row r="20" spans="1:6" hidden="1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x14ac:dyDescent="0.2">
      <c r="A21" t="s">
        <v>95</v>
      </c>
      <c r="B21" t="s">
        <v>96</v>
      </c>
      <c r="C21" s="1">
        <v>4</v>
      </c>
      <c r="D21" s="1" t="s">
        <v>21</v>
      </c>
      <c r="E21" s="1" t="s">
        <v>22</v>
      </c>
      <c r="F21" s="3">
        <v>3.9</v>
      </c>
    </row>
    <row r="22" spans="1:6" x14ac:dyDescent="0.2">
      <c r="A22" t="s">
        <v>77</v>
      </c>
      <c r="B22" t="s">
        <v>78</v>
      </c>
      <c r="C22" s="1">
        <v>3</v>
      </c>
      <c r="D22" s="1" t="s">
        <v>11</v>
      </c>
      <c r="E22" s="1" t="s">
        <v>22</v>
      </c>
      <c r="F22" s="3">
        <v>3.8</v>
      </c>
    </row>
    <row r="23" spans="1:6" x14ac:dyDescent="0.2">
      <c r="A23" t="s">
        <v>106</v>
      </c>
      <c r="B23" t="s">
        <v>107</v>
      </c>
      <c r="C23" s="1">
        <v>1</v>
      </c>
      <c r="D23" s="1" t="s">
        <v>11</v>
      </c>
      <c r="E23" s="1" t="s">
        <v>13</v>
      </c>
      <c r="F23" s="3">
        <v>3.8</v>
      </c>
    </row>
    <row r="24" spans="1:6" hidden="1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x14ac:dyDescent="0.2">
      <c r="A25" t="s">
        <v>66</v>
      </c>
      <c r="B25" t="s">
        <v>67</v>
      </c>
      <c r="C25" s="1">
        <v>4</v>
      </c>
      <c r="D25" s="1" t="s">
        <v>15</v>
      </c>
      <c r="E25" s="1" t="s">
        <v>16</v>
      </c>
      <c r="F25" s="3">
        <v>3.52</v>
      </c>
    </row>
    <row r="26" spans="1:6" x14ac:dyDescent="0.2">
      <c r="A26" t="s">
        <v>66</v>
      </c>
      <c r="B26" t="s">
        <v>68</v>
      </c>
      <c r="C26" s="1">
        <v>4</v>
      </c>
      <c r="D26" s="1" t="s">
        <v>15</v>
      </c>
      <c r="E26" s="1" t="s">
        <v>16</v>
      </c>
      <c r="F26" s="3">
        <v>3.51</v>
      </c>
    </row>
    <row r="27" spans="1:6" x14ac:dyDescent="0.2">
      <c r="A27" t="s">
        <v>71</v>
      </c>
      <c r="B27" t="s">
        <v>72</v>
      </c>
      <c r="C27" s="1">
        <v>2</v>
      </c>
      <c r="D27" s="1" t="s">
        <v>26</v>
      </c>
      <c r="E27" s="1" t="s">
        <v>27</v>
      </c>
      <c r="F27" s="3">
        <v>3.5</v>
      </c>
    </row>
    <row r="28" spans="1:6" x14ac:dyDescent="0.2">
      <c r="A28" t="s">
        <v>99</v>
      </c>
      <c r="B28" t="s">
        <v>114</v>
      </c>
      <c r="C28" s="1">
        <v>3</v>
      </c>
      <c r="D28" s="1" t="s">
        <v>9</v>
      </c>
      <c r="E28" s="1" t="s">
        <v>29</v>
      </c>
      <c r="F28" s="3">
        <v>3.5</v>
      </c>
    </row>
    <row r="29" spans="1:6" hidden="1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6" hidden="1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hidden="1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x14ac:dyDescent="0.2">
      <c r="A32" t="s">
        <v>118</v>
      </c>
      <c r="B32" t="s">
        <v>119</v>
      </c>
      <c r="C32" s="1">
        <v>4</v>
      </c>
      <c r="D32" s="1" t="s">
        <v>120</v>
      </c>
      <c r="E32" s="1" t="s">
        <v>117</v>
      </c>
      <c r="F32" s="3">
        <v>3.5</v>
      </c>
    </row>
    <row r="33" spans="1:6" x14ac:dyDescent="0.2">
      <c r="A33" s="6" t="s">
        <v>129</v>
      </c>
      <c r="B33" s="6" t="s">
        <v>130</v>
      </c>
      <c r="C33" s="1">
        <v>4</v>
      </c>
      <c r="D33" s="7" t="s">
        <v>11</v>
      </c>
      <c r="E33" s="8" t="s">
        <v>131</v>
      </c>
      <c r="F33" s="3">
        <v>3.34</v>
      </c>
    </row>
    <row r="34" spans="1:6" x14ac:dyDescent="0.2">
      <c r="A34" t="s">
        <v>39</v>
      </c>
      <c r="B34" t="s">
        <v>40</v>
      </c>
      <c r="C34" s="1">
        <v>3</v>
      </c>
      <c r="D34" s="1" t="s">
        <v>7</v>
      </c>
      <c r="E34" s="1" t="s">
        <v>14</v>
      </c>
      <c r="F34" s="3">
        <v>3.3</v>
      </c>
    </row>
    <row r="35" spans="1:6" hidden="1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hidden="1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x14ac:dyDescent="0.2">
      <c r="A37" t="s">
        <v>99</v>
      </c>
      <c r="B37" t="s">
        <v>103</v>
      </c>
      <c r="C37" s="1">
        <v>3</v>
      </c>
      <c r="D37" s="1" t="s">
        <v>9</v>
      </c>
      <c r="E37" s="1" t="s">
        <v>27</v>
      </c>
      <c r="F37" s="3">
        <v>3.3</v>
      </c>
    </row>
    <row r="38" spans="1:6" hidden="1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hidden="1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hidden="1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x14ac:dyDescent="0.2">
      <c r="A41" t="s">
        <v>89</v>
      </c>
      <c r="B41" t="s">
        <v>90</v>
      </c>
      <c r="C41" s="1">
        <v>4</v>
      </c>
      <c r="D41" s="1" t="s">
        <v>24</v>
      </c>
      <c r="E41" s="1" t="s">
        <v>5</v>
      </c>
      <c r="F41" s="3">
        <v>3.2</v>
      </c>
    </row>
    <row r="42" spans="1:6" x14ac:dyDescent="0.2">
      <c r="A42" t="s">
        <v>48</v>
      </c>
      <c r="B42" t="s">
        <v>49</v>
      </c>
      <c r="C42" s="1">
        <v>4</v>
      </c>
      <c r="D42" s="1" t="s">
        <v>11</v>
      </c>
      <c r="E42" s="1" t="s">
        <v>10</v>
      </c>
      <c r="F42" s="3">
        <v>3</v>
      </c>
    </row>
    <row r="43" spans="1:6" x14ac:dyDescent="0.2">
      <c r="A43" t="s">
        <v>54</v>
      </c>
      <c r="B43" t="s">
        <v>55</v>
      </c>
      <c r="C43" s="1">
        <v>4</v>
      </c>
      <c r="D43" s="1" t="s">
        <v>34</v>
      </c>
      <c r="E43" s="1" t="s">
        <v>6</v>
      </c>
      <c r="F43" s="3">
        <v>3</v>
      </c>
    </row>
    <row r="44" spans="1:6" hidden="1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x14ac:dyDescent="0.2">
      <c r="A45" t="s">
        <v>62</v>
      </c>
      <c r="B45" t="s">
        <v>63</v>
      </c>
      <c r="C45" s="1">
        <v>4</v>
      </c>
      <c r="D45" s="1" t="s">
        <v>2</v>
      </c>
      <c r="E45" s="1" t="s">
        <v>6</v>
      </c>
      <c r="F45" s="3">
        <v>3</v>
      </c>
    </row>
    <row r="46" spans="1:6" x14ac:dyDescent="0.2">
      <c r="A46" t="s">
        <v>121</v>
      </c>
      <c r="B46" t="s">
        <v>63</v>
      </c>
      <c r="C46" s="1">
        <v>1</v>
      </c>
      <c r="D46" s="1" t="s">
        <v>15</v>
      </c>
      <c r="E46" s="1" t="s">
        <v>122</v>
      </c>
      <c r="F46" s="3">
        <v>3</v>
      </c>
    </row>
    <row r="47" spans="1:6" x14ac:dyDescent="0.2">
      <c r="A47" t="s">
        <v>123</v>
      </c>
      <c r="B47" t="s">
        <v>124</v>
      </c>
      <c r="C47" s="1">
        <v>2</v>
      </c>
      <c r="D47" s="1" t="s">
        <v>11</v>
      </c>
      <c r="E47" s="1" t="s">
        <v>122</v>
      </c>
      <c r="F47" s="3">
        <v>3</v>
      </c>
    </row>
    <row r="48" spans="1:6" hidden="1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x14ac:dyDescent="0.2">
      <c r="A49" t="s">
        <v>87</v>
      </c>
      <c r="B49" t="s">
        <v>88</v>
      </c>
      <c r="C49" s="1">
        <v>3</v>
      </c>
      <c r="D49" s="1" t="s">
        <v>15</v>
      </c>
      <c r="E49" s="1" t="s">
        <v>17</v>
      </c>
      <c r="F49" s="3">
        <v>3</v>
      </c>
    </row>
    <row r="50" spans="1:6" x14ac:dyDescent="0.2">
      <c r="A50" t="s">
        <v>109</v>
      </c>
      <c r="B50" t="s">
        <v>110</v>
      </c>
      <c r="C50" s="1">
        <v>4</v>
      </c>
      <c r="D50" s="1" t="s">
        <v>3</v>
      </c>
      <c r="E50" s="1" t="s">
        <v>6</v>
      </c>
      <c r="F50" s="3">
        <v>3</v>
      </c>
    </row>
    <row r="51" spans="1:6" x14ac:dyDescent="0.2">
      <c r="A51" t="s">
        <v>125</v>
      </c>
      <c r="B51" t="s">
        <v>126</v>
      </c>
      <c r="C51" s="1">
        <v>2</v>
      </c>
      <c r="D51" s="1" t="s">
        <v>7</v>
      </c>
      <c r="E51" s="1" t="s">
        <v>122</v>
      </c>
      <c r="F51" s="3">
        <v>3</v>
      </c>
    </row>
  </sheetData>
  <autoFilter ref="A1:F51" xr:uid="{00000000-0001-0000-0800-000000000000}">
    <filterColumn colId="5">
      <top10 percent="1" val="50" filterVal="3"/>
    </filterColumn>
    <sortState xmlns:xlrd2="http://schemas.microsoft.com/office/spreadsheetml/2017/richdata2" ref="A3:F51">
      <sortCondition descending="1" ref="F3:F51"/>
    </sortState>
  </autoFilter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2"/>
  <sheetViews>
    <sheetView tabSelected="1" zoomScale="145" zoomScaleNormal="145" workbookViewId="0">
      <pane ySplit="1" topLeftCell="A28" activePane="bottomLeft" state="frozen"/>
      <selection pane="bottomLeft" activeCell="E53" sqref="E53"/>
    </sheetView>
  </sheetViews>
  <sheetFormatPr defaultRowHeight="12.75" x14ac:dyDescent="0.2"/>
  <cols>
    <col min="1" max="2" width="16.140625" customWidth="1"/>
    <col min="3" max="3" width="12.7109375" style="1" customWidth="1"/>
    <col min="4" max="4" width="17.140625" style="1" customWidth="1"/>
    <col min="5" max="5" width="14.85546875" style="1" customWidth="1"/>
    <col min="6" max="6" width="12.5703125" style="3" customWidth="1"/>
  </cols>
  <sheetData>
    <row r="1" spans="1:6" x14ac:dyDescent="0.2">
      <c r="A1" s="10" t="s">
        <v>35</v>
      </c>
      <c r="B1" s="10" t="s">
        <v>36</v>
      </c>
      <c r="C1" s="10" t="s">
        <v>0</v>
      </c>
      <c r="D1" s="10" t="s">
        <v>1</v>
      </c>
      <c r="E1" s="10" t="s">
        <v>4</v>
      </c>
      <c r="F1" s="11" t="s">
        <v>25</v>
      </c>
    </row>
    <row r="2" spans="1:6" x14ac:dyDescent="0.2">
      <c r="A2" t="s">
        <v>37</v>
      </c>
      <c r="B2" t="s">
        <v>38</v>
      </c>
      <c r="C2" s="1">
        <v>1</v>
      </c>
      <c r="D2" s="1" t="s">
        <v>7</v>
      </c>
      <c r="E2" s="1" t="s">
        <v>28</v>
      </c>
      <c r="F2" s="3">
        <v>1.2</v>
      </c>
    </row>
    <row r="3" spans="1:6" x14ac:dyDescent="0.2">
      <c r="A3" t="s">
        <v>39</v>
      </c>
      <c r="B3" t="s">
        <v>40</v>
      </c>
      <c r="C3" s="1">
        <v>3</v>
      </c>
      <c r="D3" s="1" t="s">
        <v>7</v>
      </c>
      <c r="E3" s="1" t="s">
        <v>14</v>
      </c>
      <c r="F3" s="3">
        <v>3.3</v>
      </c>
    </row>
    <row r="4" spans="1:6" x14ac:dyDescent="0.2">
      <c r="A4" t="s">
        <v>41</v>
      </c>
      <c r="B4" t="s">
        <v>42</v>
      </c>
      <c r="C4" s="1">
        <v>4</v>
      </c>
      <c r="D4" s="1" t="s">
        <v>11</v>
      </c>
      <c r="E4" s="1" t="s">
        <v>30</v>
      </c>
      <c r="F4" s="3">
        <v>4</v>
      </c>
    </row>
    <row r="5" spans="1:6" x14ac:dyDescent="0.2">
      <c r="A5" t="s">
        <v>43</v>
      </c>
      <c r="B5" t="s">
        <v>44</v>
      </c>
      <c r="C5" s="1">
        <v>2</v>
      </c>
      <c r="D5" s="1" t="s">
        <v>11</v>
      </c>
      <c r="E5" s="1" t="s">
        <v>8</v>
      </c>
      <c r="F5" s="3">
        <v>2.2200000000000002</v>
      </c>
    </row>
    <row r="6" spans="1:6" x14ac:dyDescent="0.2">
      <c r="A6" t="s">
        <v>43</v>
      </c>
      <c r="B6" t="s">
        <v>45</v>
      </c>
      <c r="C6" s="1">
        <v>2</v>
      </c>
      <c r="D6" s="1" t="s">
        <v>11</v>
      </c>
      <c r="E6" s="1" t="s">
        <v>8</v>
      </c>
      <c r="F6" s="3">
        <v>2.2200000000000002</v>
      </c>
    </row>
    <row r="7" spans="1:6" x14ac:dyDescent="0.2">
      <c r="A7" t="s">
        <v>46</v>
      </c>
      <c r="B7" t="s">
        <v>47</v>
      </c>
      <c r="C7" s="1">
        <v>2</v>
      </c>
      <c r="D7" s="1" t="s">
        <v>19</v>
      </c>
      <c r="E7" s="1" t="s">
        <v>20</v>
      </c>
      <c r="F7" s="3">
        <v>2.2000000000000002</v>
      </c>
    </row>
    <row r="8" spans="1:6" x14ac:dyDescent="0.2">
      <c r="A8" t="s">
        <v>48</v>
      </c>
      <c r="B8" t="s">
        <v>49</v>
      </c>
      <c r="C8" s="1">
        <v>4</v>
      </c>
      <c r="D8" s="1" t="s">
        <v>11</v>
      </c>
      <c r="E8" s="1" t="s">
        <v>10</v>
      </c>
      <c r="F8" s="3">
        <v>3</v>
      </c>
    </row>
    <row r="9" spans="1:6" x14ac:dyDescent="0.2">
      <c r="A9" t="s">
        <v>50</v>
      </c>
      <c r="B9" t="s">
        <v>51</v>
      </c>
      <c r="C9" s="1">
        <v>4</v>
      </c>
      <c r="D9" s="1" t="s">
        <v>3</v>
      </c>
      <c r="E9" s="1" t="s">
        <v>10</v>
      </c>
      <c r="F9" s="3">
        <v>4</v>
      </c>
    </row>
    <row r="10" spans="1:6" x14ac:dyDescent="0.2">
      <c r="A10" t="s">
        <v>52</v>
      </c>
      <c r="B10" t="s">
        <v>53</v>
      </c>
      <c r="C10" s="1">
        <v>4</v>
      </c>
      <c r="D10" s="1" t="s">
        <v>19</v>
      </c>
      <c r="E10" s="1" t="s">
        <v>22</v>
      </c>
      <c r="F10" s="3">
        <v>1</v>
      </c>
    </row>
    <row r="11" spans="1:6" x14ac:dyDescent="0.2">
      <c r="A11" t="s">
        <v>54</v>
      </c>
      <c r="B11" t="s">
        <v>55</v>
      </c>
      <c r="C11" s="1">
        <v>4</v>
      </c>
      <c r="D11" s="1" t="s">
        <v>34</v>
      </c>
      <c r="E11" s="1" t="s">
        <v>6</v>
      </c>
      <c r="F11" s="3">
        <v>3</v>
      </c>
    </row>
    <row r="12" spans="1:6" x14ac:dyDescent="0.2">
      <c r="A12" t="s">
        <v>56</v>
      </c>
      <c r="B12" t="s">
        <v>57</v>
      </c>
      <c r="C12" s="1">
        <v>2</v>
      </c>
      <c r="D12" s="1" t="s">
        <v>3</v>
      </c>
      <c r="E12" s="1" t="s">
        <v>5</v>
      </c>
      <c r="F12" s="3">
        <v>4</v>
      </c>
    </row>
    <row r="13" spans="1:6" x14ac:dyDescent="0.2">
      <c r="A13" t="s">
        <v>58</v>
      </c>
      <c r="B13" t="s">
        <v>59</v>
      </c>
      <c r="C13" s="1">
        <v>4</v>
      </c>
      <c r="D13" s="1" t="s">
        <v>18</v>
      </c>
      <c r="E13" s="1" t="s">
        <v>17</v>
      </c>
      <c r="F13" s="3">
        <v>3.99</v>
      </c>
    </row>
    <row r="14" spans="1:6" x14ac:dyDescent="0.2">
      <c r="A14" t="s">
        <v>60</v>
      </c>
      <c r="B14" t="s">
        <v>61</v>
      </c>
      <c r="C14" s="1">
        <v>2</v>
      </c>
      <c r="D14" s="1" t="s">
        <v>18</v>
      </c>
      <c r="E14" s="1" t="s">
        <v>13</v>
      </c>
      <c r="F14" s="3">
        <v>1</v>
      </c>
    </row>
    <row r="15" spans="1:6" x14ac:dyDescent="0.2">
      <c r="A15" t="s">
        <v>62</v>
      </c>
      <c r="B15" t="s">
        <v>63</v>
      </c>
      <c r="C15" s="1">
        <v>4</v>
      </c>
      <c r="D15" s="1" t="s">
        <v>2</v>
      </c>
      <c r="E15" s="1" t="s">
        <v>6</v>
      </c>
      <c r="F15" s="3">
        <v>3</v>
      </c>
    </row>
    <row r="16" spans="1:6" x14ac:dyDescent="0.2">
      <c r="A16" t="s">
        <v>64</v>
      </c>
      <c r="B16" t="s">
        <v>113</v>
      </c>
      <c r="C16" s="1">
        <v>2</v>
      </c>
      <c r="D16" s="1" t="s">
        <v>11</v>
      </c>
      <c r="E16" s="1" t="s">
        <v>30</v>
      </c>
      <c r="F16" s="3">
        <v>1.9</v>
      </c>
    </row>
    <row r="17" spans="1:6" x14ac:dyDescent="0.2">
      <c r="A17" t="s">
        <v>65</v>
      </c>
      <c r="B17" t="s">
        <v>55</v>
      </c>
      <c r="C17" s="1">
        <v>2</v>
      </c>
      <c r="D17" s="1" t="s">
        <v>7</v>
      </c>
      <c r="E17" s="1" t="s">
        <v>10</v>
      </c>
      <c r="F17" s="3">
        <v>2.0099999999999998</v>
      </c>
    </row>
    <row r="18" spans="1:6" x14ac:dyDescent="0.2">
      <c r="A18" t="s">
        <v>66</v>
      </c>
      <c r="B18" t="s">
        <v>67</v>
      </c>
      <c r="C18" s="1">
        <v>4</v>
      </c>
      <c r="D18" s="1" t="s">
        <v>15</v>
      </c>
      <c r="E18" s="1" t="s">
        <v>16</v>
      </c>
      <c r="F18" s="3">
        <v>3.52</v>
      </c>
    </row>
    <row r="19" spans="1:6" x14ac:dyDescent="0.2">
      <c r="A19" t="s">
        <v>66</v>
      </c>
      <c r="B19" t="s">
        <v>68</v>
      </c>
      <c r="C19" s="1">
        <v>4</v>
      </c>
      <c r="D19" s="1" t="s">
        <v>15</v>
      </c>
      <c r="E19" s="1" t="s">
        <v>16</v>
      </c>
      <c r="F19" s="3">
        <v>3.51</v>
      </c>
    </row>
    <row r="20" spans="1:6" x14ac:dyDescent="0.2">
      <c r="A20" t="s">
        <v>69</v>
      </c>
      <c r="B20" t="s">
        <v>70</v>
      </c>
      <c r="C20" s="1">
        <v>3</v>
      </c>
      <c r="D20" s="1" t="s">
        <v>32</v>
      </c>
      <c r="E20" s="1" t="s">
        <v>5</v>
      </c>
      <c r="F20" s="3">
        <v>2.8</v>
      </c>
    </row>
    <row r="21" spans="1:6" x14ac:dyDescent="0.2">
      <c r="A21" t="s">
        <v>121</v>
      </c>
      <c r="B21" t="s">
        <v>63</v>
      </c>
      <c r="C21" s="1">
        <v>1</v>
      </c>
      <c r="D21" s="1" t="s">
        <v>15</v>
      </c>
      <c r="E21" s="1" t="s">
        <v>122</v>
      </c>
      <c r="F21" s="3">
        <v>3</v>
      </c>
    </row>
    <row r="22" spans="1:6" x14ac:dyDescent="0.2">
      <c r="A22" t="s">
        <v>71</v>
      </c>
      <c r="B22" t="s">
        <v>72</v>
      </c>
      <c r="C22" s="1">
        <v>2</v>
      </c>
      <c r="D22" s="1" t="s">
        <v>26</v>
      </c>
      <c r="E22" s="1" t="s">
        <v>27</v>
      </c>
      <c r="F22" s="3">
        <v>3.5</v>
      </c>
    </row>
    <row r="23" spans="1:6" x14ac:dyDescent="0.2">
      <c r="A23" t="s">
        <v>73</v>
      </c>
      <c r="B23" t="s">
        <v>74</v>
      </c>
      <c r="C23" s="1">
        <v>3</v>
      </c>
      <c r="D23" s="1" t="s">
        <v>18</v>
      </c>
      <c r="E23" s="1" t="s">
        <v>14</v>
      </c>
      <c r="F23" s="3">
        <v>3.98</v>
      </c>
    </row>
    <row r="24" spans="1:6" x14ac:dyDescent="0.2">
      <c r="A24" t="s">
        <v>75</v>
      </c>
      <c r="B24" t="s">
        <v>76</v>
      </c>
      <c r="C24" s="1">
        <v>3</v>
      </c>
      <c r="D24" s="1" t="s">
        <v>31</v>
      </c>
      <c r="E24" s="1" t="s">
        <v>14</v>
      </c>
      <c r="F24" s="3">
        <v>2.5</v>
      </c>
    </row>
    <row r="25" spans="1:6" x14ac:dyDescent="0.2">
      <c r="A25" t="s">
        <v>77</v>
      </c>
      <c r="B25" t="s">
        <v>78</v>
      </c>
      <c r="C25" s="1">
        <v>3</v>
      </c>
      <c r="D25" s="1" t="s">
        <v>11</v>
      </c>
      <c r="E25" s="1" t="s">
        <v>22</v>
      </c>
      <c r="F25" s="3">
        <v>3.8</v>
      </c>
    </row>
    <row r="26" spans="1:6" x14ac:dyDescent="0.2">
      <c r="A26" t="s">
        <v>123</v>
      </c>
      <c r="B26" t="s">
        <v>124</v>
      </c>
      <c r="C26" s="1">
        <v>2</v>
      </c>
      <c r="D26" s="1" t="s">
        <v>11</v>
      </c>
      <c r="E26" s="1" t="s">
        <v>122</v>
      </c>
      <c r="F26" s="3">
        <v>3</v>
      </c>
    </row>
    <row r="27" spans="1:6" x14ac:dyDescent="0.2">
      <c r="A27" t="s">
        <v>127</v>
      </c>
      <c r="B27" t="s">
        <v>128</v>
      </c>
      <c r="C27" s="1">
        <v>4</v>
      </c>
      <c r="D27" s="1" t="s">
        <v>18</v>
      </c>
      <c r="E27" s="1" t="s">
        <v>122</v>
      </c>
      <c r="F27" s="3">
        <v>4</v>
      </c>
    </row>
    <row r="28" spans="1:6" x14ac:dyDescent="0.2">
      <c r="A28" t="s">
        <v>79</v>
      </c>
      <c r="B28" t="s">
        <v>80</v>
      </c>
      <c r="C28" s="1">
        <v>4</v>
      </c>
      <c r="D28" s="1" t="s">
        <v>11</v>
      </c>
      <c r="E28" s="1" t="s">
        <v>14</v>
      </c>
      <c r="F28" s="3">
        <v>4</v>
      </c>
    </row>
    <row r="29" spans="1:6" x14ac:dyDescent="0.2">
      <c r="A29" t="s">
        <v>81</v>
      </c>
      <c r="B29" t="s">
        <v>82</v>
      </c>
      <c r="C29" s="1">
        <v>2</v>
      </c>
      <c r="D29" s="1" t="s">
        <v>7</v>
      </c>
      <c r="E29" s="1" t="s">
        <v>13</v>
      </c>
      <c r="F29" s="3">
        <v>1.1000000000000001</v>
      </c>
    </row>
    <row r="30" spans="1:6" x14ac:dyDescent="0.2">
      <c r="A30" t="s">
        <v>83</v>
      </c>
      <c r="B30" t="s">
        <v>84</v>
      </c>
      <c r="C30" s="1">
        <v>4</v>
      </c>
      <c r="D30" s="1" t="s">
        <v>33</v>
      </c>
      <c r="E30" s="1" t="s">
        <v>5</v>
      </c>
      <c r="F30" s="3">
        <v>2.9</v>
      </c>
    </row>
    <row r="31" spans="1:6" x14ac:dyDescent="0.2">
      <c r="A31" t="s">
        <v>85</v>
      </c>
      <c r="B31" t="s">
        <v>86</v>
      </c>
      <c r="C31" s="1">
        <v>3</v>
      </c>
      <c r="D31" s="1" t="s">
        <v>18</v>
      </c>
      <c r="E31" s="1" t="s">
        <v>12</v>
      </c>
      <c r="F31" s="3">
        <v>2.2000000000000002</v>
      </c>
    </row>
    <row r="32" spans="1:6" x14ac:dyDescent="0.2">
      <c r="A32" t="s">
        <v>87</v>
      </c>
      <c r="B32" t="s">
        <v>88</v>
      </c>
      <c r="C32" s="1">
        <v>3</v>
      </c>
      <c r="D32" s="1" t="s">
        <v>15</v>
      </c>
      <c r="E32" s="1" t="s">
        <v>17</v>
      </c>
      <c r="F32" s="3">
        <v>3</v>
      </c>
    </row>
    <row r="33" spans="1:6" x14ac:dyDescent="0.2">
      <c r="A33" t="s">
        <v>89</v>
      </c>
      <c r="B33" t="s">
        <v>90</v>
      </c>
      <c r="C33" s="1">
        <v>4</v>
      </c>
      <c r="D33" s="1" t="s">
        <v>24</v>
      </c>
      <c r="E33" s="1" t="s">
        <v>5</v>
      </c>
      <c r="F33" s="3">
        <v>3.2</v>
      </c>
    </row>
    <row r="34" spans="1:6" x14ac:dyDescent="0.2">
      <c r="A34" t="s">
        <v>109</v>
      </c>
      <c r="B34" t="s">
        <v>110</v>
      </c>
      <c r="C34" s="1">
        <v>4</v>
      </c>
      <c r="D34" s="1" t="s">
        <v>3</v>
      </c>
      <c r="E34" s="1" t="s">
        <v>6</v>
      </c>
      <c r="F34" s="3">
        <v>3</v>
      </c>
    </row>
    <row r="35" spans="1:6" x14ac:dyDescent="0.2">
      <c r="A35" t="s">
        <v>91</v>
      </c>
      <c r="B35" t="s">
        <v>92</v>
      </c>
      <c r="C35" s="1">
        <v>3</v>
      </c>
      <c r="D35" s="1" t="s">
        <v>23</v>
      </c>
      <c r="E35" s="1" t="s">
        <v>20</v>
      </c>
      <c r="F35" s="3">
        <v>2.2000000000000002</v>
      </c>
    </row>
    <row r="36" spans="1:6" x14ac:dyDescent="0.2">
      <c r="A36" t="s">
        <v>93</v>
      </c>
      <c r="B36" t="s">
        <v>94</v>
      </c>
      <c r="C36" s="1">
        <v>2</v>
      </c>
      <c r="D36" s="1" t="s">
        <v>18</v>
      </c>
      <c r="E36" s="1" t="s">
        <v>14</v>
      </c>
      <c r="F36" s="3">
        <v>1.5</v>
      </c>
    </row>
    <row r="37" spans="1:6" x14ac:dyDescent="0.2">
      <c r="A37" t="s">
        <v>95</v>
      </c>
      <c r="B37" t="s">
        <v>96</v>
      </c>
      <c r="C37" s="1">
        <v>4</v>
      </c>
      <c r="D37" s="1" t="s">
        <v>21</v>
      </c>
      <c r="E37" s="1" t="s">
        <v>22</v>
      </c>
      <c r="F37" s="3">
        <v>3.9</v>
      </c>
    </row>
    <row r="38" spans="1:6" x14ac:dyDescent="0.2">
      <c r="A38" t="s">
        <v>97</v>
      </c>
      <c r="B38" t="s">
        <v>98</v>
      </c>
      <c r="C38" s="1">
        <v>3</v>
      </c>
      <c r="D38" s="1" t="s">
        <v>7</v>
      </c>
      <c r="E38" s="1" t="s">
        <v>8</v>
      </c>
      <c r="F38" s="3">
        <v>2.8</v>
      </c>
    </row>
    <row r="39" spans="1:6" x14ac:dyDescent="0.2">
      <c r="A39" t="s">
        <v>99</v>
      </c>
      <c r="B39" t="s">
        <v>100</v>
      </c>
      <c r="C39" s="1">
        <v>1</v>
      </c>
      <c r="D39" s="1" t="s">
        <v>9</v>
      </c>
      <c r="E39" s="1" t="s">
        <v>10</v>
      </c>
      <c r="F39" s="3">
        <v>1</v>
      </c>
    </row>
    <row r="40" spans="1:6" x14ac:dyDescent="0.2">
      <c r="A40" t="s">
        <v>99</v>
      </c>
      <c r="B40" t="s">
        <v>101</v>
      </c>
      <c r="C40" s="1">
        <v>3</v>
      </c>
      <c r="D40" s="1" t="s">
        <v>9</v>
      </c>
      <c r="E40" s="1" t="s">
        <v>12</v>
      </c>
      <c r="F40" s="3">
        <v>1.3</v>
      </c>
    </row>
    <row r="41" spans="1:6" x14ac:dyDescent="0.2">
      <c r="A41" t="s">
        <v>99</v>
      </c>
      <c r="B41" t="s">
        <v>102</v>
      </c>
      <c r="C41" s="1">
        <v>4</v>
      </c>
      <c r="D41" s="1" t="s">
        <v>9</v>
      </c>
      <c r="E41" s="1" t="s">
        <v>8</v>
      </c>
      <c r="F41" s="3">
        <v>4</v>
      </c>
    </row>
    <row r="42" spans="1:6" x14ac:dyDescent="0.2">
      <c r="A42" t="s">
        <v>99</v>
      </c>
      <c r="B42" t="s">
        <v>114</v>
      </c>
      <c r="C42" s="1">
        <v>3</v>
      </c>
      <c r="D42" s="1" t="s">
        <v>9</v>
      </c>
      <c r="E42" s="1" t="s">
        <v>29</v>
      </c>
      <c r="F42" s="3">
        <v>3.5</v>
      </c>
    </row>
    <row r="43" spans="1:6" x14ac:dyDescent="0.2">
      <c r="A43" t="s">
        <v>99</v>
      </c>
      <c r="B43" t="s">
        <v>103</v>
      </c>
      <c r="C43" s="1">
        <v>3</v>
      </c>
      <c r="D43" s="1" t="s">
        <v>9</v>
      </c>
      <c r="E43" s="1" t="s">
        <v>27</v>
      </c>
      <c r="F43" s="3">
        <v>3.3</v>
      </c>
    </row>
    <row r="44" spans="1:6" x14ac:dyDescent="0.2">
      <c r="A44" t="s">
        <v>104</v>
      </c>
      <c r="B44" t="s">
        <v>105</v>
      </c>
      <c r="C44" s="1">
        <v>1</v>
      </c>
      <c r="D44" s="1" t="s">
        <v>11</v>
      </c>
      <c r="E44" s="1" t="s">
        <v>12</v>
      </c>
      <c r="F44" s="3">
        <v>0.25</v>
      </c>
    </row>
    <row r="45" spans="1:6" x14ac:dyDescent="0.2">
      <c r="A45" t="s">
        <v>118</v>
      </c>
      <c r="B45" t="s">
        <v>119</v>
      </c>
      <c r="C45" s="1">
        <v>4</v>
      </c>
      <c r="D45" s="1" t="s">
        <v>120</v>
      </c>
      <c r="E45" s="1" t="s">
        <v>117</v>
      </c>
      <c r="F45" s="3">
        <v>3.5</v>
      </c>
    </row>
    <row r="46" spans="1:6" x14ac:dyDescent="0.2">
      <c r="A46" t="s">
        <v>111</v>
      </c>
      <c r="B46" t="s">
        <v>112</v>
      </c>
      <c r="C46" s="1">
        <v>2</v>
      </c>
      <c r="D46" s="1" t="s">
        <v>3</v>
      </c>
      <c r="E46" s="1" t="s">
        <v>12</v>
      </c>
      <c r="F46" s="3">
        <v>4</v>
      </c>
    </row>
    <row r="47" spans="1:6" x14ac:dyDescent="0.2">
      <c r="A47" t="s">
        <v>106</v>
      </c>
      <c r="B47" t="s">
        <v>107</v>
      </c>
      <c r="C47" s="1">
        <v>1</v>
      </c>
      <c r="D47" s="1" t="s">
        <v>11</v>
      </c>
      <c r="E47" s="1" t="s">
        <v>13</v>
      </c>
      <c r="F47" s="3">
        <v>3.8</v>
      </c>
    </row>
    <row r="48" spans="1:6" x14ac:dyDescent="0.2">
      <c r="A48" t="s">
        <v>106</v>
      </c>
      <c r="B48" t="s">
        <v>108</v>
      </c>
      <c r="C48" s="1">
        <v>4</v>
      </c>
      <c r="D48" s="1" t="s">
        <v>11</v>
      </c>
      <c r="E48" s="1" t="s">
        <v>16</v>
      </c>
      <c r="F48" s="3">
        <v>2.8</v>
      </c>
    </row>
    <row r="49" spans="1:6" x14ac:dyDescent="0.2">
      <c r="A49" t="s">
        <v>115</v>
      </c>
      <c r="B49" t="s">
        <v>116</v>
      </c>
      <c r="C49" s="1">
        <v>1</v>
      </c>
      <c r="D49" s="1" t="s">
        <v>11</v>
      </c>
      <c r="E49" s="1" t="s">
        <v>117</v>
      </c>
      <c r="F49" s="3">
        <v>4</v>
      </c>
    </row>
    <row r="50" spans="1:6" x14ac:dyDescent="0.2">
      <c r="A50" t="s">
        <v>125</v>
      </c>
      <c r="B50" t="s">
        <v>126</v>
      </c>
      <c r="C50" s="1">
        <v>2</v>
      </c>
      <c r="D50" s="1" t="s">
        <v>7</v>
      </c>
      <c r="E50" s="1" t="s">
        <v>122</v>
      </c>
      <c r="F50" s="3">
        <v>3</v>
      </c>
    </row>
    <row r="51" spans="1:6" x14ac:dyDescent="0.2">
      <c r="A51" s="6" t="s">
        <v>129</v>
      </c>
      <c r="B51" s="6" t="s">
        <v>130</v>
      </c>
      <c r="C51" s="1">
        <v>4</v>
      </c>
      <c r="D51" s="7" t="s">
        <v>11</v>
      </c>
      <c r="E51" s="8" t="s">
        <v>131</v>
      </c>
      <c r="F51" s="3">
        <v>3.34</v>
      </c>
    </row>
    <row r="52" spans="1:6" x14ac:dyDescent="0.2">
      <c r="A52" t="s">
        <v>143</v>
      </c>
      <c r="E52" s="8" t="s">
        <v>144</v>
      </c>
      <c r="F52" s="3">
        <f>SUBTOTAL(101,Table1[GPA])</f>
        <v>2.8648000000000002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Props1.xml><?xml version="1.0" encoding="utf-8"?>
<ds:datastoreItem xmlns:ds="http://schemas.openxmlformats.org/officeDocument/2006/customXml" ds:itemID="{7DDD3ED2-3822-4B5C-A502-95380E6A5B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D2D749-D255-4AEE-B9F1-B738C4664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6C445-7668-484C-BFEB-A2EE778F290B}">
  <ds:schemaRefs>
    <ds:schemaRef ds:uri="4f948357-9647-417c-9885-9e9896ad7197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5700998-527b-41f2-899c-78f7b4e9e77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Basics</vt:lpstr>
      <vt:lpstr>Simple Sort</vt:lpstr>
      <vt:lpstr>Multiple Keys</vt:lpstr>
      <vt:lpstr>AutoFilter</vt:lpstr>
      <vt:lpstr>AutoFilter AND</vt:lpstr>
      <vt:lpstr>Number Filter</vt:lpstr>
      <vt:lpstr>Number Filter AND</vt:lpstr>
      <vt:lpstr>Number Filter OR</vt:lpstr>
      <vt:lpstr>Number Filter Other</vt:lpstr>
      <vt:lpstr>Table</vt:lpstr>
      <vt:lpstr>AutoFilter!Criteria</vt:lpstr>
      <vt:lpstr>'AutoFilter AND'!Criteria</vt:lpstr>
      <vt:lpstr>Basics!Criteria</vt:lpstr>
      <vt:lpstr>'Multiple Keys'!Criteria</vt:lpstr>
      <vt:lpstr>'Number Filter'!Criteria</vt:lpstr>
      <vt:lpstr>'Number Filter AND'!Criteria</vt:lpstr>
      <vt:lpstr>'Number Filter OR'!Criteria</vt:lpstr>
      <vt:lpstr>'Number Filter Other'!Criteria</vt:lpstr>
      <vt:lpstr>'Simple Sort'!Criteria</vt:lpstr>
      <vt:lpstr>Table!Criteria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Nyhoff</dc:creator>
  <cp:lastModifiedBy>Alejandro De La Torre</cp:lastModifiedBy>
  <cp:lastPrinted>1998-12-02T03:43:23Z</cp:lastPrinted>
  <dcterms:created xsi:type="dcterms:W3CDTF">1997-12-02T02:34:56Z</dcterms:created>
  <dcterms:modified xsi:type="dcterms:W3CDTF">2025-10-17T22:07:09Z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